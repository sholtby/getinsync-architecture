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https://allstartech2015.sharepoint.com/sites/test/Shared Documents/NextGen Architecture/NextGen Skill Repository/gis-master-plan-md-files/"/>
    </mc:Choice>
  </mc:AlternateContent>
  <xr:revisionPtr revIDLastSave="0" documentId="11_F4C8D06941E0C9DE0FA470E58A465C403F66A6FA" xr6:coauthVersionLast="47" xr6:coauthVersionMax="47" xr10:uidLastSave="{00000000-0000-0000-0000-000000000000}"/>
  <bookViews>
    <workbookView xWindow="37640" yWindow="3300" windowWidth="30420" windowHeight="19640" tabRatio="500"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2" l="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I5" i="1"/>
  <c r="J5" i="1" s="1"/>
  <c r="J1" i="1"/>
  <c r="K5" i="1" l="1"/>
  <c r="J6" i="1"/>
  <c r="I6" i="1"/>
  <c r="I4" i="1"/>
  <c r="L5" i="1" l="1"/>
  <c r="K6" i="1"/>
  <c r="M5" i="1" l="1"/>
  <c r="L6" i="1"/>
  <c r="M6" i="1" l="1"/>
  <c r="N5" i="1"/>
  <c r="O5" i="1" l="1"/>
  <c r="N6" i="1"/>
  <c r="P5" i="1" l="1"/>
  <c r="O6" i="1"/>
  <c r="P6" i="1" l="1"/>
  <c r="P4" i="1"/>
  <c r="Q5" i="1"/>
  <c r="R5" i="1" l="1"/>
  <c r="Q6" i="1"/>
  <c r="S5" i="1" l="1"/>
  <c r="R6" i="1"/>
  <c r="T5" i="1" l="1"/>
  <c r="S6" i="1"/>
  <c r="U5" i="1" l="1"/>
  <c r="T6" i="1"/>
  <c r="U6" i="1" l="1"/>
  <c r="V5" i="1"/>
  <c r="W5" i="1" l="1"/>
  <c r="V6" i="1"/>
  <c r="X5" i="1" l="1"/>
  <c r="W4" i="1"/>
  <c r="W6" i="1"/>
  <c r="X6" i="1" l="1"/>
  <c r="Y5" i="1"/>
  <c r="Z5" i="1" l="1"/>
  <c r="Y6" i="1"/>
  <c r="AA5" i="1" l="1"/>
  <c r="Z6" i="1"/>
  <c r="AB5" i="1" l="1"/>
  <c r="AA6" i="1"/>
  <c r="AC5" i="1" l="1"/>
  <c r="AB6" i="1"/>
  <c r="AC6" i="1" l="1"/>
  <c r="AD5" i="1"/>
  <c r="AD4" i="1" l="1"/>
  <c r="AE5" i="1"/>
  <c r="AD6" i="1"/>
  <c r="AF5" i="1" l="1"/>
  <c r="AE6" i="1"/>
  <c r="AF6" i="1" l="1"/>
  <c r="AG5" i="1"/>
  <c r="AH5" i="1" l="1"/>
  <c r="AG6" i="1"/>
  <c r="AI5" i="1" l="1"/>
  <c r="AH6" i="1"/>
  <c r="AJ5" i="1" l="1"/>
  <c r="AI6" i="1"/>
  <c r="AK5" i="1" l="1"/>
  <c r="AJ6" i="1"/>
  <c r="AK6" i="1" l="1"/>
  <c r="AK4" i="1"/>
  <c r="AL5" i="1"/>
  <c r="AM5" i="1" l="1"/>
  <c r="AL6" i="1"/>
  <c r="AN5" i="1" l="1"/>
  <c r="AM6" i="1"/>
  <c r="AN6" i="1" l="1"/>
  <c r="AO5" i="1"/>
  <c r="AP5" i="1" l="1"/>
  <c r="AO6" i="1"/>
  <c r="AQ5" i="1" l="1"/>
  <c r="AP6" i="1"/>
  <c r="AR5" i="1" l="1"/>
  <c r="AQ6" i="1"/>
  <c r="AS5" i="1" l="1"/>
  <c r="AR6" i="1"/>
  <c r="AR4" i="1"/>
  <c r="AS6" i="1" l="1"/>
  <c r="AT5" i="1"/>
  <c r="AU5" i="1" l="1"/>
  <c r="AT6" i="1"/>
  <c r="AV5" i="1" l="1"/>
  <c r="AU6" i="1"/>
  <c r="AV6" i="1" l="1"/>
  <c r="AW5" i="1"/>
  <c r="AX5" i="1" l="1"/>
  <c r="AW6" i="1"/>
  <c r="AY5" i="1" l="1"/>
  <c r="AX6" i="1"/>
  <c r="AZ5" i="1" l="1"/>
  <c r="AY6" i="1"/>
  <c r="AY4" i="1"/>
  <c r="BA5" i="1" l="1"/>
  <c r="AZ6" i="1"/>
  <c r="BA6" i="1" l="1"/>
  <c r="BB5" i="1"/>
  <c r="BC5" i="1" l="1"/>
  <c r="BB6" i="1"/>
  <c r="BD5" i="1" l="1"/>
  <c r="BC6" i="1"/>
  <c r="BD6" i="1" l="1"/>
  <c r="BE5" i="1"/>
  <c r="BF5" i="1" l="1"/>
  <c r="BE6" i="1"/>
  <c r="BG5" i="1" l="1"/>
  <c r="BF6" i="1"/>
  <c r="BF4" i="1"/>
  <c r="BH5" i="1" l="1"/>
  <c r="BG6" i="1"/>
  <c r="BI5" i="1" l="1"/>
  <c r="BH6" i="1"/>
  <c r="BI6" i="1" l="1"/>
  <c r="BJ5" i="1"/>
  <c r="BJ6" i="1" l="1"/>
  <c r="BK5" i="1"/>
  <c r="BL5" i="1" l="1"/>
  <c r="BL6" i="1" s="1"/>
  <c r="BK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 authorId="0" shapeId="0" xr:uid="{00000000-0006-0000-0000-000001000000}">
      <text>
        <r>
          <rPr>
            <sz val="10"/>
            <rFont val="Arial"/>
            <family val="2"/>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<sst xmlns="http://schemas.openxmlformats.org/spreadsheetml/2006/main" count="146" uniqueCount="92">
  <si>
    <t>GETINSYNC NEXTGEN - Q1 2026 MASTER PLAN v2.0</t>
  </si>
  <si>
    <t>GetInSync Strategic Management</t>
  </si>
  <si>
    <t>Project Start:</t>
  </si>
  <si>
    <t>Stuart Holtby</t>
  </si>
  <si>
    <t>Today:</t>
  </si>
  <si>
    <t>Display Week:</t>
  </si>
  <si>
    <t>TASK</t>
  </si>
  <si>
    <t>ASSIGNED
TO</t>
  </si>
  <si>
    <t>PROGRESS</t>
  </si>
  <si>
    <t>START</t>
  </si>
  <si>
    <t>END</t>
  </si>
  <si>
    <t>DAYS</t>
  </si>
  <si>
    <t>ARCHITECTURE SPRINT (COMPLETE)</t>
  </si>
  <si>
    <t>Stuart</t>
  </si>
  <si>
    <t>Visual Tab architecture v1.0</t>
  </si>
  <si>
    <t>Technology Stack ERD v1.0 + Addendum v1.1</t>
  </si>
  <si>
    <t>Technology Health Dashboard arch v1.0</t>
  </si>
  <si>
    <t>Risk Boundary ADR + Cost Model Addendum</t>
  </si>
  <si>
    <t>Infrastructure Boundary Rubric v1.0</t>
  </si>
  <si>
    <t>Lifecycle Intelligence v1.0 → v1.1</t>
  </si>
  <si>
    <t>Gamification architecture v1.2</t>
  </si>
  <si>
    <t>Marketing Explainer v1.6 → v1.7</t>
  </si>
  <si>
    <t>Manifest v1.18→v1.23 + Changelog</t>
  </si>
  <si>
    <t>COMPLETED (PRE-SPRINT)</t>
  </si>
  <si>
    <t>Team</t>
  </si>
  <si>
    <t>Phase 25.9-25.10 (RLS + Schema)</t>
  </si>
  <si>
    <t>Phase 28: Integration Management</t>
  </si>
  <si>
    <t>Stuart + AG</t>
  </si>
  <si>
    <t>SOC2 Audit Logging Infrastructure</t>
  </si>
  <si>
    <t>Google OAuth verified &amp; live</t>
  </si>
  <si>
    <t>Nested Portfolio UI</t>
  </si>
  <si>
    <t>AG</t>
  </si>
  <si>
    <t>Audit log backfill + schema backup</t>
  </si>
  <si>
    <t>FOUNDATION CATCHUP</t>
  </si>
  <si>
    <t>Power BI views deployment (14 views)</t>
  </si>
  <si>
    <t>First Power BI dashboard</t>
  </si>
  <si>
    <t>Delta training — Namespace UI</t>
  </si>
  <si>
    <t>Stuart + Delta</t>
  </si>
  <si>
    <t>Delta training — Garland workflow</t>
  </si>
  <si>
    <t>Enable Dependabot + SSO decision</t>
  </si>
  <si>
    <t>Phase 28 bug fixes (13 items)</t>
  </si>
  <si>
    <t>Namespace UI polish (slug, region)</t>
  </si>
  <si>
    <t>Website update</t>
  </si>
  <si>
    <t>AG + Delta</t>
  </si>
  <si>
    <t>TECHNOLOGY HEALTH DASHBOARD</t>
  </si>
  <si>
    <t>Schema — applications columns</t>
  </si>
  <si>
    <t>Schema — DP + tech product columns</t>
  </si>
  <si>
    <t>RLS + GRANTs + audit triggers</t>
  </si>
  <si>
    <t>Lifecycle reference data seeding</t>
  </si>
  <si>
    <t>Database views (4 new views)</t>
  </si>
  <si>
    <t>Lifecycle badge on DP tech tagging</t>
  </si>
  <si>
    <t>Riverside demo data — tech tagging</t>
  </si>
  <si>
    <t>Crown Jewel flags on key apps</t>
  </si>
  <si>
    <t>Garland import (363 apps)</t>
  </si>
  <si>
    <t>Dashboard UI — KPIs + lifecycle</t>
  </si>
  <si>
    <t>Dashboard UI — workspace breakdown</t>
  </si>
  <si>
    <t>Dashboard UI — infra report</t>
  </si>
  <si>
    <t>Dashboard UI — blast radius view</t>
  </si>
  <si>
    <t>Testing + validation</t>
  </si>
  <si>
    <t>IT VALUE CREATION</t>
  </si>
  <si>
    <t>Schema — initiatives table</t>
  </si>
  <si>
    <t>Schema — findings table</t>
  </si>
  <si>
    <t>Schema — junctions + RLS + audit</t>
  </si>
  <si>
    <t>Auto-generate lifecycle findings</t>
  </si>
  <si>
    <t>UI — Findings list view</t>
  </si>
  <si>
    <t>UI — Initiatives list + detail</t>
  </si>
  <si>
    <t>UI — Kanban board view</t>
  </si>
  <si>
    <t>UI — Roadmap timeline view</t>
  </si>
  <si>
    <t>UI — Value dashboard</t>
  </si>
  <si>
    <t>Testing + demo data</t>
  </si>
  <si>
    <t>POLISH + PREP</t>
  </si>
  <si>
    <t>UI consistency pass</t>
  </si>
  <si>
    <t>Power BI Garland demo</t>
  </si>
  <si>
    <t>Demo script development</t>
  </si>
  <si>
    <t>Website content update</t>
  </si>
  <si>
    <t>Integration Mgmt remaining fixes</t>
  </si>
  <si>
    <t>Documentation pass</t>
  </si>
  <si>
    <t>Q1 review + Q2 planning</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</si>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</sst>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quot;, &quot;m/d/yyyy"/>
    <numFmt numFmtId="165" formatCode="mmm\ d&quot;, &quot;yyyy"/>
    <numFmt numFmtId="166" formatCode="d"/>
    <numFmt numFmtId="167" formatCode="m/d/yy;@"/>
    <numFmt numFmtId="168" formatCode="yyyy\-mm\-dd\ h:mm:ss"/>
  </numFmts>
  <fonts count="24" x14ac:knownFonts="1">
    <font>
      <sz val="11"/>
      <color theme="1"/>
      <name val="Calibri"/>
      <family val="2"/>
      <charset val="1"/>
    </font>
    <font>
      <sz val="10"/>
      <name val="Arial"/>
      <family val="2"/>
    </font>
    <font>
      <b/>
      <sz val="22"/>
      <color theme="1" tint="0.3498947111423078"/>
      <name val="Calibri"/>
      <family val="2"/>
      <charset val="1"/>
    </font>
    <font>
      <b/>
      <sz val="20"/>
      <color theme="4" tint="-0.249977111117893"/>
      <name val="Calibri"/>
      <family val="2"/>
      <charset val="1"/>
    </font>
    <font>
      <sz val="10"/>
      <name val="Calibri"/>
      <family val="2"/>
      <charset val="1"/>
    </font>
    <font>
      <sz val="10"/>
      <color theme="0" tint="-0.499984740745262"/>
      <name val="Calibri"/>
      <family val="2"/>
      <charset val="1"/>
    </font>
    <font>
      <u/>
      <sz val="11"/>
      <color rgb="FF0000FF"/>
      <name val="Arial"/>
      <family val="2"/>
      <charset val="1"/>
    </font>
    <font>
      <u/>
      <sz val="9"/>
      <color theme="4" tint="-0.249977111117893"/>
      <name val="Arial"/>
      <family val="2"/>
      <charset val="1"/>
    </font>
    <font>
      <sz val="14"/>
      <color theme="1"/>
      <name val="Calibri"/>
      <family val="2"/>
      <charset val="1"/>
    </font>
    <font>
      <sz val="9"/>
      <name val="Calibri"/>
      <family val="2"/>
      <charset val="1"/>
    </font>
    <font>
      <sz val="16"/>
      <color theme="1"/>
      <name val="Calibri"/>
      <family val="2"/>
      <charset val="1"/>
    </font>
    <font>
      <b/>
      <sz val="9"/>
      <color theme="0"/>
      <name val="Calibri"/>
      <family val="2"/>
      <charset val="1"/>
    </font>
    <font>
      <sz val="8"/>
      <color theme="0"/>
      <name val="Calibri"/>
      <family val="2"/>
      <charset val="1"/>
    </font>
    <font>
      <sz val="11"/>
      <name val="Calibri"/>
      <family val="2"/>
      <charset val="1"/>
    </font>
    <font>
      <b/>
      <sz val="11"/>
      <name val="Calibri"/>
      <family val="2"/>
    </font>
    <font>
      <b/>
      <sz val="11"/>
      <color theme="1"/>
      <name val="Calibri"/>
      <family val="2"/>
      <charset val="1"/>
    </font>
    <font>
      <b/>
      <sz val="10"/>
      <name val="Calibri"/>
      <family val="2"/>
      <charset val="1"/>
    </font>
    <font>
      <b/>
      <sz val="12"/>
      <color theme="1" tint="0.3498947111423078"/>
      <name val="Calibri"/>
      <family val="2"/>
      <charset val="1"/>
    </font>
    <font>
      <sz val="11"/>
      <color theme="1" tint="0.49989318521683401"/>
      <name val="Calibri"/>
      <family val="2"/>
      <charset val="1"/>
    </font>
    <font>
      <sz val="10"/>
      <color theme="1" tint="0.3498947111423078"/>
      <name val="Calibri"/>
      <family val="2"/>
      <charset val="1"/>
    </font>
    <font>
      <sz val="20"/>
      <name val="Calibri"/>
      <family val="2"/>
      <charset val="1"/>
    </font>
    <font>
      <b/>
      <sz val="16"/>
      <color theme="4" tint="-0.249977111117893"/>
      <name val="Calibri"/>
      <family val="2"/>
      <charset val="1"/>
    </font>
    <font>
      <sz val="11"/>
      <color rgb="FF1D2129"/>
      <name val="Calibri"/>
      <family val="2"/>
      <charset val="1"/>
    </font>
    <font>
      <sz val="11"/>
      <color theme="1"/>
      <name val="Calibri"/>
      <family val="2"/>
      <charset val="1"/>
    </font>
  </fonts>
  <fills count="6">
    <fill>
      <patternFill patternType="none"/>
    </fill>
    <fill>
      <patternFill patternType="gray125"/>
    </fill>
    <fill>
      <patternFill patternType="solid">
        <fgColor theme="0" tint="-0.14999847407452621"/>
        <bgColor rgb="FFDCE6F2"/>
      </patternFill>
    </fill>
    <fill>
      <patternFill patternType="solid">
        <fgColor theme="1" tint="0.3498947111423078"/>
        <bgColor rgb="FF376092"/>
      </patternFill>
    </fill>
    <fill>
      <patternFill patternType="solid">
        <fgColor theme="4" tint="0.59987182226020086"/>
        <bgColor rgb="FF99CCFF"/>
      </patternFill>
    </fill>
    <fill>
      <patternFill patternType="solid">
        <fgColor theme="4" tint="0.79989013336588644"/>
        <bgColor rgb="FFD9D9D9"/>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9847407452621"/>
      </bottom>
      <diagonal/>
    </border>
    <border>
      <left/>
      <right/>
      <top style="medium">
        <color theme="0" tint="-0.14999847407452621"/>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3">
    <xf numFmtId="0" fontId="0" fillId="0" borderId="0"/>
    <xf numFmtId="9" fontId="23" fillId="0" borderId="0"/>
    <xf numFmtId="0" fontId="6" fillId="0" borderId="0">
      <alignment vertical="top"/>
      <protection locked="0"/>
    </xf>
  </cellStyleXfs>
  <cellXfs count="57">
    <xf numFmtId="0" fontId="0" fillId="0" borderId="0" xfId="0"/>
    <xf numFmtId="165" fontId="0" fillId="2" borderId="2" xfId="0" applyNumberFormat="1" applyFill="1" applyBorder="1" applyAlignment="1">
      <alignment horizontal="left" vertical="center" wrapText="1" indent="1"/>
    </xf>
    <xf numFmtId="164" fontId="0" fillId="0" borderId="1" xfId="0" applyNumberFormat="1" applyBorder="1" applyAlignment="1">
      <alignment horizontal="center" vertical="center"/>
    </xf>
    <xf numFmtId="0" fontId="7" fillId="0" borderId="0" xfId="2" applyFont="1" applyAlignment="1" applyProtection="1">
      <alignment horizontal="left" vertical="center"/>
    </xf>
    <xf numFmtId="0" fontId="0" fillId="0" borderId="0" xfId="0" applyAlignment="1">
      <alignment horizontal="center"/>
    </xf>
    <xf numFmtId="0" fontId="2" fillId="0" borderId="0" xfId="0" applyFont="1" applyAlignment="1">
      <alignment horizontal="left"/>
    </xf>
    <xf numFmtId="0" fontId="3"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right" vertical="center"/>
    </xf>
    <xf numFmtId="0" fontId="5" fillId="0" borderId="0" xfId="0" applyFont="1" applyAlignment="1">
      <alignment vertical="center"/>
    </xf>
    <xf numFmtId="0" fontId="8" fillId="0" borderId="0" xfId="0" applyFont="1"/>
    <xf numFmtId="0" fontId="0" fillId="0" borderId="0" xfId="0" applyAlignment="1">
      <alignment horizontal="right" vertical="center"/>
    </xf>
    <xf numFmtId="0" fontId="0" fillId="0" borderId="1" xfId="0" applyBorder="1" applyAlignment="1">
      <alignment horizontal="center" vertical="center"/>
    </xf>
    <xf numFmtId="166" fontId="9" fillId="2" borderId="3" xfId="0" applyNumberFormat="1" applyFont="1" applyFill="1" applyBorder="1" applyAlignment="1">
      <alignment horizontal="center" vertical="center"/>
    </xf>
    <xf numFmtId="166" fontId="9" fillId="2" borderId="0" xfId="0" applyNumberFormat="1" applyFont="1" applyFill="1" applyAlignment="1">
      <alignment horizontal="center" vertical="center"/>
    </xf>
    <xf numFmtId="166" fontId="9" fillId="2" borderId="4" xfId="0" applyNumberFormat="1" applyFont="1" applyFill="1" applyBorder="1" applyAlignment="1">
      <alignment horizontal="center" vertical="center"/>
    </xf>
    <xf numFmtId="0" fontId="10" fillId="0" borderId="0" xfId="0" applyFont="1" applyAlignment="1">
      <alignment horizontal="right" vertical="center"/>
    </xf>
    <xf numFmtId="0" fontId="11" fillId="3" borderId="5" xfId="0" applyFont="1" applyFill="1" applyBorder="1" applyAlignment="1">
      <alignment horizontal="left" vertical="center" indent="1"/>
    </xf>
    <xf numFmtId="0" fontId="11" fillId="3" borderId="5" xfId="0" applyFont="1" applyFill="1" applyBorder="1" applyAlignment="1">
      <alignment horizontal="center" vertical="center" wrapText="1"/>
    </xf>
    <xf numFmtId="0" fontId="12" fillId="3" borderId="6" xfId="0" applyFont="1" applyFill="1" applyBorder="1" applyAlignment="1">
      <alignment horizontal="center" vertical="center" shrinkToFit="1"/>
    </xf>
    <xf numFmtId="0" fontId="0" fillId="0" borderId="7" xfId="0" applyBorder="1" applyAlignment="1">
      <alignment horizontal="left" vertical="center" indent="1"/>
    </xf>
    <xf numFmtId="0" fontId="0" fillId="0" borderId="7" xfId="0" applyBorder="1" applyAlignment="1">
      <alignment horizontal="center" vertical="center"/>
    </xf>
    <xf numFmtId="9" fontId="13" fillId="0" borderId="7" xfId="1" applyFont="1" applyBorder="1" applyAlignment="1">
      <alignment horizontal="center" vertical="center"/>
    </xf>
    <xf numFmtId="167" fontId="0" fillId="0" borderId="7" xfId="0" applyNumberFormat="1" applyBorder="1" applyAlignment="1">
      <alignment horizontal="center" vertical="center"/>
    </xf>
    <xf numFmtId="167" fontId="13" fillId="0" borderId="7" xfId="0" applyNumberFormat="1" applyFont="1" applyBorder="1" applyAlignment="1">
      <alignment horizontal="center" vertical="center"/>
    </xf>
    <xf numFmtId="0" fontId="13" fillId="0" borderId="7" xfId="0" applyFont="1" applyBorder="1" applyAlignment="1">
      <alignment horizontal="center" vertical="center"/>
    </xf>
    <xf numFmtId="0" fontId="0" fillId="0" borderId="8" xfId="0" applyBorder="1" applyAlignment="1">
      <alignment vertical="center"/>
    </xf>
    <xf numFmtId="0" fontId="0" fillId="0" borderId="0" xfId="0" applyAlignment="1">
      <alignment vertical="center"/>
    </xf>
    <xf numFmtId="0" fontId="14" fillId="4" borderId="7" xfId="0" applyFont="1" applyFill="1" applyBorder="1" applyAlignment="1">
      <alignment horizontal="left" vertical="center" indent="1"/>
    </xf>
    <xf numFmtId="0" fontId="15" fillId="4" borderId="7" xfId="0" applyFont="1" applyFill="1" applyBorder="1" applyAlignment="1">
      <alignment horizontal="center" vertical="center"/>
    </xf>
    <xf numFmtId="9" fontId="13" fillId="4" borderId="7" xfId="1" applyFont="1" applyFill="1" applyBorder="1" applyAlignment="1">
      <alignment horizontal="center" vertical="center"/>
    </xf>
    <xf numFmtId="167" fontId="0" fillId="4" borderId="7" xfId="0" applyNumberFormat="1" applyFill="1" applyBorder="1" applyAlignment="1">
      <alignment horizontal="center" vertical="center"/>
    </xf>
    <xf numFmtId="167" fontId="13" fillId="4" borderId="7" xfId="0" applyNumberFormat="1" applyFont="1" applyFill="1" applyBorder="1" applyAlignment="1">
      <alignment horizontal="center" vertical="center"/>
    </xf>
    <xf numFmtId="0" fontId="0" fillId="5" borderId="7" xfId="0" applyFill="1" applyBorder="1" applyAlignment="1">
      <alignment horizontal="left" vertical="center" indent="2"/>
    </xf>
    <xf numFmtId="0" fontId="0" fillId="5" borderId="7" xfId="0" applyFill="1" applyBorder="1" applyAlignment="1">
      <alignment horizontal="center" vertical="center"/>
    </xf>
    <xf numFmtId="9" fontId="13" fillId="5" borderId="7" xfId="1" applyFont="1" applyFill="1" applyBorder="1" applyAlignment="1">
      <alignment horizontal="center" vertical="center"/>
    </xf>
    <xf numFmtId="167" fontId="0" fillId="5" borderId="7" xfId="0" applyNumberFormat="1" applyFill="1" applyBorder="1" applyAlignment="1">
      <alignment horizontal="center" vertical="center"/>
    </xf>
    <xf numFmtId="167" fontId="13" fillId="5" borderId="7" xfId="0" applyNumberFormat="1" applyFont="1" applyFill="1" applyBorder="1" applyAlignment="1">
      <alignment horizontal="center" vertical="center"/>
    </xf>
    <xf numFmtId="9" fontId="13" fillId="5" borderId="7" xfId="0" applyNumberFormat="1" applyFont="1" applyFill="1" applyBorder="1" applyAlignment="1">
      <alignment horizontal="center" vertical="center"/>
    </xf>
    <xf numFmtId="0" fontId="0" fillId="5" borderId="7" xfId="2" applyFont="1" applyFill="1" applyBorder="1" applyAlignment="1" applyProtection="1">
      <alignment horizontal="left" vertical="center" indent="2"/>
    </xf>
    <xf numFmtId="0" fontId="0" fillId="5" borderId="7" xfId="2" applyFont="1" applyFill="1" applyBorder="1" applyAlignment="1" applyProtection="1">
      <alignment horizontal="center" vertical="center"/>
    </xf>
    <xf numFmtId="9" fontId="13" fillId="4" borderId="7" xfId="0" applyNumberFormat="1" applyFont="1" applyFill="1" applyBorder="1" applyAlignment="1">
      <alignment horizontal="center" vertical="center"/>
    </xf>
    <xf numFmtId="168" fontId="0" fillId="0" borderId="0" xfId="0" applyNumberFormat="1"/>
    <xf numFmtId="0" fontId="0" fillId="0" borderId="0" xfId="0" applyAlignment="1">
      <alignment indent="2"/>
    </xf>
    <xf numFmtId="0" fontId="14" fillId="0" borderId="0" xfId="0" applyFont="1"/>
    <xf numFmtId="0" fontId="4"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4" fillId="0" borderId="0" xfId="0" applyFont="1" applyAlignment="1">
      <alignment horizontal="left" vertical="center"/>
    </xf>
    <xf numFmtId="0" fontId="18" fillId="0" borderId="0" xfId="0" applyFont="1" applyAlignment="1">
      <alignment vertical="center"/>
    </xf>
    <xf numFmtId="0" fontId="19" fillId="0" borderId="0" xfId="0" applyFont="1" applyAlignment="1">
      <alignment vertical="top"/>
    </xf>
    <xf numFmtId="0" fontId="20" fillId="0" borderId="0" xfId="0" applyFont="1"/>
    <xf numFmtId="0" fontId="21" fillId="0" borderId="0" xfId="0" applyFont="1" applyAlignment="1">
      <alignment vertical="center"/>
    </xf>
    <xf numFmtId="0" fontId="22" fillId="0" borderId="0" xfId="0" applyFont="1" applyAlignment="1">
      <alignment horizontal="left" vertical="top" wrapText="1" indent="1"/>
    </xf>
    <xf numFmtId="0" fontId="22" fillId="0" borderId="0" xfId="0" applyFont="1" applyAlignment="1">
      <alignment vertical="top" wrapText="1"/>
    </xf>
    <xf numFmtId="0" fontId="6" fillId="0" borderId="0" xfId="2" applyAlignment="1" applyProtection="1">
      <alignment horizontal="left" indent="1"/>
    </xf>
  </cellXfs>
  <cellStyles count="3">
    <cellStyle name="Hyperlink" xfId="2" builtinId="8"/>
    <cellStyle name="Normal" xfId="0" builtinId="0"/>
    <cellStyle name="Percent" xfId="1" builtinId="5"/>
  </cellStyles>
  <dxfs count="3">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D9D9D9"/>
      <rgbColor rgb="FF808080"/>
      <rgbColor rgb="FF9999FF"/>
      <rgbColor rgb="FF595959"/>
      <rgbColor rgb="FFFFFFCC"/>
      <rgbColor rgb="FFDCE6F2"/>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8064A2"/>
      <rgbColor rgb="FFA6A6A6"/>
      <rgbColor rgb="FF003366"/>
      <rgbColor rgb="FF339966"/>
      <rgbColor rgb="FF003300"/>
      <rgbColor rgb="FF333300"/>
      <rgbColor rgb="FF993300"/>
      <rgbColor rgb="FF993366"/>
      <rgbColor rgb="FF376092"/>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95400</xdr:rowOff>
    </xdr:from>
    <xdr:to>
      <xdr:col>1</xdr:col>
      <xdr:colOff>1904760</xdr:colOff>
      <xdr:row>0</xdr:row>
      <xdr:rowOff>523800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9440" y="95400"/>
          <a:ext cx="1904760" cy="428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L90"/>
  <sheetViews>
    <sheetView showGridLines="0" tabSelected="1" zoomScale="110" zoomScaleNormal="110" workbookViewId="0">
      <pane ySplit="6" topLeftCell="A24" activePane="bottomLeft" state="frozen"/>
      <selection pane="bottomLeft" activeCell="B30" sqref="B30"/>
    </sheetView>
  </sheetViews>
  <sheetFormatPr baseColWidth="10" defaultColWidth="8.83203125" defaultRowHeight="15" x14ac:dyDescent="0.2"/>
  <cols>
    <col min="1" max="1" width="2.6640625" customWidth="1"/>
    <col min="2" max="2" width="40.1640625" customWidth="1"/>
    <col min="3" max="3" width="15" customWidth="1"/>
    <col min="4" max="4" width="10.6640625" customWidth="1"/>
    <col min="5" max="5" width="10.5" style="4" customWidth="1"/>
    <col min="6" max="6" width="10.5" customWidth="1"/>
    <col min="7" max="7" width="2.6640625" customWidth="1"/>
    <col min="8" max="8" width="6.1640625" hidden="1" customWidth="1"/>
    <col min="9" max="64" width="2.5" customWidth="1"/>
    <col min="69" max="70" width="10.33203125" customWidth="1"/>
  </cols>
  <sheetData>
    <row r="1" spans="1:64" ht="28.5" customHeight="1" x14ac:dyDescent="0.35">
      <c r="B1" s="5" t="s">
        <v>0</v>
      </c>
      <c r="C1" s="6"/>
      <c r="D1" s="7"/>
      <c r="E1" s="8"/>
      <c r="F1" s="9"/>
      <c r="H1" s="7"/>
      <c r="I1" s="10"/>
      <c r="J1" s="3" t="str">
        <f>HYPERLINK("https://vertex42.link/HowToMakeAGanttChart","► Watch How to Make a Gantt Chart in Excel")</f>
        <v>► Watch How to Make a Gantt Chart in Excel</v>
      </c>
      <c r="K1" s="3"/>
      <c r="L1" s="3"/>
      <c r="M1" s="3"/>
      <c r="N1" s="3"/>
      <c r="O1" s="3"/>
      <c r="P1" s="3"/>
      <c r="Q1" s="3"/>
      <c r="R1" s="3"/>
      <c r="S1" s="3"/>
      <c r="T1" s="3"/>
      <c r="U1" s="3"/>
      <c r="V1" s="3"/>
      <c r="W1" s="3"/>
      <c r="X1" s="3"/>
      <c r="Y1" s="3"/>
      <c r="Z1" s="3"/>
      <c r="AA1" s="3"/>
    </row>
    <row r="2" spans="1:64" ht="19.5" customHeight="1" x14ac:dyDescent="0.25">
      <c r="B2" s="11" t="s">
        <v>1</v>
      </c>
      <c r="D2" s="12" t="s">
        <v>2</v>
      </c>
      <c r="E2" s="2">
        <v>46063</v>
      </c>
      <c r="F2" s="2"/>
    </row>
    <row r="3" spans="1:64" ht="19.5" customHeight="1" x14ac:dyDescent="0.25">
      <c r="B3" s="11" t="s">
        <v>3</v>
      </c>
      <c r="D3" s="12" t="s">
        <v>4</v>
      </c>
      <c r="E3" s="2">
        <v>46067</v>
      </c>
      <c r="F3" s="2"/>
    </row>
    <row r="4" spans="1:64" ht="19.5" customHeight="1" x14ac:dyDescent="0.2">
      <c r="D4" s="12" t="s">
        <v>5</v>
      </c>
      <c r="E4" s="13">
        <v>1</v>
      </c>
      <c r="I4" s="1">
        <f>I5</f>
        <v>46062</v>
      </c>
      <c r="J4" s="1"/>
      <c r="K4" s="1"/>
      <c r="L4" s="1"/>
      <c r="M4" s="1"/>
      <c r="N4" s="1"/>
      <c r="O4" s="1"/>
      <c r="P4" s="1">
        <f>P5</f>
        <v>46069</v>
      </c>
      <c r="Q4" s="1"/>
      <c r="R4" s="1"/>
      <c r="S4" s="1"/>
      <c r="T4" s="1"/>
      <c r="U4" s="1"/>
      <c r="V4" s="1"/>
      <c r="W4" s="1">
        <f>W5</f>
        <v>46076</v>
      </c>
      <c r="X4" s="1"/>
      <c r="Y4" s="1"/>
      <c r="Z4" s="1"/>
      <c r="AA4" s="1"/>
      <c r="AB4" s="1"/>
      <c r="AC4" s="1"/>
      <c r="AD4" s="1">
        <f>AD5</f>
        <v>46083</v>
      </c>
      <c r="AE4" s="1"/>
      <c r="AF4" s="1"/>
      <c r="AG4" s="1"/>
      <c r="AH4" s="1"/>
      <c r="AI4" s="1"/>
      <c r="AJ4" s="1"/>
      <c r="AK4" s="1">
        <f>AK5</f>
        <v>46090</v>
      </c>
      <c r="AL4" s="1"/>
      <c r="AM4" s="1"/>
      <c r="AN4" s="1"/>
      <c r="AO4" s="1"/>
      <c r="AP4" s="1"/>
      <c r="AQ4" s="1"/>
      <c r="AR4" s="1">
        <f>AR5</f>
        <v>46097</v>
      </c>
      <c r="AS4" s="1"/>
      <c r="AT4" s="1"/>
      <c r="AU4" s="1"/>
      <c r="AV4" s="1"/>
      <c r="AW4" s="1"/>
      <c r="AX4" s="1"/>
      <c r="AY4" s="1">
        <f>AY5</f>
        <v>46104</v>
      </c>
      <c r="AZ4" s="1"/>
      <c r="BA4" s="1"/>
      <c r="BB4" s="1"/>
      <c r="BC4" s="1"/>
      <c r="BD4" s="1"/>
      <c r="BE4" s="1"/>
      <c r="BF4" s="1">
        <f>BF5</f>
        <v>46111</v>
      </c>
      <c r="BG4" s="1"/>
      <c r="BH4" s="1"/>
      <c r="BI4" s="1"/>
      <c r="BJ4" s="1"/>
      <c r="BK4" s="1"/>
      <c r="BL4" s="1"/>
    </row>
    <row r="5" spans="1:64" x14ac:dyDescent="0.2">
      <c r="A5" s="12"/>
      <c r="G5" s="12"/>
      <c r="I5" s="14">
        <f>E2-WEEKDAY(E2,1)+2+7*(E4-1)</f>
        <v>46062</v>
      </c>
      <c r="J5" s="15">
        <f t="shared" ref="J5:AO5" si="0">I5+1</f>
        <v>46063</v>
      </c>
      <c r="K5" s="15">
        <f t="shared" si="0"/>
        <v>46064</v>
      </c>
      <c r="L5" s="15">
        <f t="shared" si="0"/>
        <v>46065</v>
      </c>
      <c r="M5" s="15">
        <f t="shared" si="0"/>
        <v>46066</v>
      </c>
      <c r="N5" s="15">
        <f t="shared" si="0"/>
        <v>46067</v>
      </c>
      <c r="O5" s="16">
        <f t="shared" si="0"/>
        <v>46068</v>
      </c>
      <c r="P5" s="14">
        <f t="shared" si="0"/>
        <v>46069</v>
      </c>
      <c r="Q5" s="15">
        <f t="shared" si="0"/>
        <v>46070</v>
      </c>
      <c r="R5" s="15">
        <f t="shared" si="0"/>
        <v>46071</v>
      </c>
      <c r="S5" s="15">
        <f t="shared" si="0"/>
        <v>46072</v>
      </c>
      <c r="T5" s="15">
        <f t="shared" si="0"/>
        <v>46073</v>
      </c>
      <c r="U5" s="15">
        <f t="shared" si="0"/>
        <v>46074</v>
      </c>
      <c r="V5" s="16">
        <f t="shared" si="0"/>
        <v>46075</v>
      </c>
      <c r="W5" s="14">
        <f t="shared" si="0"/>
        <v>46076</v>
      </c>
      <c r="X5" s="15">
        <f t="shared" si="0"/>
        <v>46077</v>
      </c>
      <c r="Y5" s="15">
        <f t="shared" si="0"/>
        <v>46078</v>
      </c>
      <c r="Z5" s="15">
        <f t="shared" si="0"/>
        <v>46079</v>
      </c>
      <c r="AA5" s="15">
        <f t="shared" si="0"/>
        <v>46080</v>
      </c>
      <c r="AB5" s="15">
        <f t="shared" si="0"/>
        <v>46081</v>
      </c>
      <c r="AC5" s="16">
        <f t="shared" si="0"/>
        <v>46082</v>
      </c>
      <c r="AD5" s="14">
        <f t="shared" si="0"/>
        <v>46083</v>
      </c>
      <c r="AE5" s="15">
        <f t="shared" si="0"/>
        <v>46084</v>
      </c>
      <c r="AF5" s="15">
        <f t="shared" si="0"/>
        <v>46085</v>
      </c>
      <c r="AG5" s="15">
        <f t="shared" si="0"/>
        <v>46086</v>
      </c>
      <c r="AH5" s="15">
        <f t="shared" si="0"/>
        <v>46087</v>
      </c>
      <c r="AI5" s="15">
        <f t="shared" si="0"/>
        <v>46088</v>
      </c>
      <c r="AJ5" s="16">
        <f t="shared" si="0"/>
        <v>46089</v>
      </c>
      <c r="AK5" s="14">
        <f t="shared" si="0"/>
        <v>46090</v>
      </c>
      <c r="AL5" s="15">
        <f t="shared" si="0"/>
        <v>46091</v>
      </c>
      <c r="AM5" s="15">
        <f t="shared" si="0"/>
        <v>46092</v>
      </c>
      <c r="AN5" s="15">
        <f t="shared" si="0"/>
        <v>46093</v>
      </c>
      <c r="AO5" s="15">
        <f t="shared" si="0"/>
        <v>46094</v>
      </c>
      <c r="AP5" s="15">
        <f t="shared" ref="AP5:BL5" si="1">AO5+1</f>
        <v>46095</v>
      </c>
      <c r="AQ5" s="16">
        <f t="shared" si="1"/>
        <v>46096</v>
      </c>
      <c r="AR5" s="14">
        <f t="shared" si="1"/>
        <v>46097</v>
      </c>
      <c r="AS5" s="15">
        <f t="shared" si="1"/>
        <v>46098</v>
      </c>
      <c r="AT5" s="15">
        <f t="shared" si="1"/>
        <v>46099</v>
      </c>
      <c r="AU5" s="15">
        <f t="shared" si="1"/>
        <v>46100</v>
      </c>
      <c r="AV5" s="15">
        <f t="shared" si="1"/>
        <v>46101</v>
      </c>
      <c r="AW5" s="15">
        <f t="shared" si="1"/>
        <v>46102</v>
      </c>
      <c r="AX5" s="16">
        <f t="shared" si="1"/>
        <v>46103</v>
      </c>
      <c r="AY5" s="14">
        <f t="shared" si="1"/>
        <v>46104</v>
      </c>
      <c r="AZ5" s="15">
        <f t="shared" si="1"/>
        <v>46105</v>
      </c>
      <c r="BA5" s="15">
        <f t="shared" si="1"/>
        <v>46106</v>
      </c>
      <c r="BB5" s="15">
        <f t="shared" si="1"/>
        <v>46107</v>
      </c>
      <c r="BC5" s="15">
        <f t="shared" si="1"/>
        <v>46108</v>
      </c>
      <c r="BD5" s="15">
        <f t="shared" si="1"/>
        <v>46109</v>
      </c>
      <c r="BE5" s="16">
        <f t="shared" si="1"/>
        <v>46110</v>
      </c>
      <c r="BF5" s="14">
        <f t="shared" si="1"/>
        <v>46111</v>
      </c>
      <c r="BG5" s="15">
        <f t="shared" si="1"/>
        <v>46112</v>
      </c>
      <c r="BH5" s="15">
        <f t="shared" si="1"/>
        <v>46113</v>
      </c>
      <c r="BI5" s="15">
        <f t="shared" si="1"/>
        <v>46114</v>
      </c>
      <c r="BJ5" s="15">
        <f t="shared" si="1"/>
        <v>46115</v>
      </c>
      <c r="BK5" s="15">
        <f t="shared" si="1"/>
        <v>46116</v>
      </c>
      <c r="BL5" s="16">
        <f t="shared" si="1"/>
        <v>46117</v>
      </c>
    </row>
    <row r="6" spans="1:64" ht="29.25" customHeight="1" x14ac:dyDescent="0.2">
      <c r="A6" s="17"/>
      <c r="B6" s="18" t="s">
        <v>6</v>
      </c>
      <c r="C6" s="19" t="s">
        <v>7</v>
      </c>
      <c r="D6" s="19" t="s">
        <v>8</v>
      </c>
      <c r="E6" s="19" t="s">
        <v>9</v>
      </c>
      <c r="F6" s="19" t="s">
        <v>10</v>
      </c>
      <c r="G6" s="19"/>
      <c r="H6" s="19" t="s">
        <v>11</v>
      </c>
      <c r="I6" s="20" t="str">
        <f t="shared" ref="I6:AN6" si="2">LEFT(TEXT(I5,"ddd"),1)</f>
        <v>M</v>
      </c>
      <c r="J6" s="20" t="str">
        <f t="shared" si="2"/>
        <v>T</v>
      </c>
      <c r="K6" s="20" t="str">
        <f t="shared" si="2"/>
        <v>W</v>
      </c>
      <c r="L6" s="20" t="str">
        <f t="shared" si="2"/>
        <v>T</v>
      </c>
      <c r="M6" s="20" t="str">
        <f t="shared" si="2"/>
        <v>F</v>
      </c>
      <c r="N6" s="20" t="str">
        <f t="shared" si="2"/>
        <v>S</v>
      </c>
      <c r="O6" s="20" t="str">
        <f t="shared" si="2"/>
        <v>S</v>
      </c>
      <c r="P6" s="20" t="str">
        <f t="shared" si="2"/>
        <v>M</v>
      </c>
      <c r="Q6" s="20" t="str">
        <f t="shared" si="2"/>
        <v>T</v>
      </c>
      <c r="R6" s="20" t="str">
        <f t="shared" si="2"/>
        <v>W</v>
      </c>
      <c r="S6" s="20" t="str">
        <f t="shared" si="2"/>
        <v>T</v>
      </c>
      <c r="T6" s="20" t="str">
        <f t="shared" si="2"/>
        <v>F</v>
      </c>
      <c r="U6" s="20" t="str">
        <f t="shared" si="2"/>
        <v>S</v>
      </c>
      <c r="V6" s="20" t="str">
        <f t="shared" si="2"/>
        <v>S</v>
      </c>
      <c r="W6" s="20" t="str">
        <f t="shared" si="2"/>
        <v>M</v>
      </c>
      <c r="X6" s="20" t="str">
        <f t="shared" si="2"/>
        <v>T</v>
      </c>
      <c r="Y6" s="20" t="str">
        <f t="shared" si="2"/>
        <v>W</v>
      </c>
      <c r="Z6" s="20" t="str">
        <f t="shared" si="2"/>
        <v>T</v>
      </c>
      <c r="AA6" s="20" t="str">
        <f t="shared" si="2"/>
        <v>F</v>
      </c>
      <c r="AB6" s="20" t="str">
        <f t="shared" si="2"/>
        <v>S</v>
      </c>
      <c r="AC6" s="20" t="str">
        <f t="shared" si="2"/>
        <v>S</v>
      </c>
      <c r="AD6" s="20" t="str">
        <f t="shared" si="2"/>
        <v>M</v>
      </c>
      <c r="AE6" s="20" t="str">
        <f t="shared" si="2"/>
        <v>T</v>
      </c>
      <c r="AF6" s="20" t="str">
        <f t="shared" si="2"/>
        <v>W</v>
      </c>
      <c r="AG6" s="20" t="str">
        <f t="shared" si="2"/>
        <v>T</v>
      </c>
      <c r="AH6" s="20" t="str">
        <f t="shared" si="2"/>
        <v>F</v>
      </c>
      <c r="AI6" s="20" t="str">
        <f t="shared" si="2"/>
        <v>S</v>
      </c>
      <c r="AJ6" s="20" t="str">
        <f t="shared" si="2"/>
        <v>S</v>
      </c>
      <c r="AK6" s="20" t="str">
        <f t="shared" si="2"/>
        <v>M</v>
      </c>
      <c r="AL6" s="20" t="str">
        <f t="shared" si="2"/>
        <v>T</v>
      </c>
      <c r="AM6" s="20" t="str">
        <f t="shared" si="2"/>
        <v>W</v>
      </c>
      <c r="AN6" s="20" t="str">
        <f t="shared" si="2"/>
        <v>T</v>
      </c>
      <c r="AO6" s="20" t="str">
        <f t="shared" ref="AO6:BT6" si="3">LEFT(TEXT(AO5,"ddd"),1)</f>
        <v>F</v>
      </c>
      <c r="AP6" s="20" t="str">
        <f t="shared" si="3"/>
        <v>S</v>
      </c>
      <c r="AQ6" s="20" t="str">
        <f t="shared" si="3"/>
        <v>S</v>
      </c>
      <c r="AR6" s="20" t="str">
        <f t="shared" si="3"/>
        <v>M</v>
      </c>
      <c r="AS6" s="20" t="str">
        <f t="shared" si="3"/>
        <v>T</v>
      </c>
      <c r="AT6" s="20" t="str">
        <f t="shared" si="3"/>
        <v>W</v>
      </c>
      <c r="AU6" s="20" t="str">
        <f t="shared" si="3"/>
        <v>T</v>
      </c>
      <c r="AV6" s="20" t="str">
        <f t="shared" si="3"/>
        <v>F</v>
      </c>
      <c r="AW6" s="20" t="str">
        <f t="shared" si="3"/>
        <v>S</v>
      </c>
      <c r="AX6" s="20" t="str">
        <f t="shared" si="3"/>
        <v>S</v>
      </c>
      <c r="AY6" s="20" t="str">
        <f t="shared" si="3"/>
        <v>M</v>
      </c>
      <c r="AZ6" s="20" t="str">
        <f t="shared" si="3"/>
        <v>T</v>
      </c>
      <c r="BA6" s="20" t="str">
        <f t="shared" si="3"/>
        <v>W</v>
      </c>
      <c r="BB6" s="20" t="str">
        <f t="shared" si="3"/>
        <v>T</v>
      </c>
      <c r="BC6" s="20" t="str">
        <f t="shared" si="3"/>
        <v>F</v>
      </c>
      <c r="BD6" s="20" t="str">
        <f t="shared" si="3"/>
        <v>S</v>
      </c>
      <c r="BE6" s="20" t="str">
        <f t="shared" si="3"/>
        <v>S</v>
      </c>
      <c r="BF6" s="20" t="str">
        <f t="shared" si="3"/>
        <v>M</v>
      </c>
      <c r="BG6" s="20" t="str">
        <f t="shared" si="3"/>
        <v>T</v>
      </c>
      <c r="BH6" s="20" t="str">
        <f t="shared" si="3"/>
        <v>W</v>
      </c>
      <c r="BI6" s="20" t="str">
        <f t="shared" si="3"/>
        <v>T</v>
      </c>
      <c r="BJ6" s="20" t="str">
        <f t="shared" si="3"/>
        <v>F</v>
      </c>
      <c r="BK6" s="20" t="str">
        <f t="shared" si="3"/>
        <v>S</v>
      </c>
      <c r="BL6" s="20" t="str">
        <f t="shared" si="3"/>
        <v>S</v>
      </c>
    </row>
    <row r="7" spans="1:64" s="28" customFormat="1" ht="21.75" customHeight="1" x14ac:dyDescent="0.2">
      <c r="A7" s="17"/>
      <c r="B7" s="21"/>
      <c r="C7" s="22"/>
      <c r="D7" s="23"/>
      <c r="E7" s="24"/>
      <c r="F7" s="25"/>
      <c r="G7" s="26"/>
      <c r="H7" s="26" t="str">
        <f>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row>
    <row r="8" spans="1:64" s="28" customFormat="1" ht="21.75" customHeight="1" x14ac:dyDescent="0.2">
      <c r="A8" s="17"/>
      <c r="B8" s="29" t="s">
        <v>12</v>
      </c>
      <c r="C8" s="30" t="s">
        <v>13</v>
      </c>
      <c r="D8" s="31">
        <v>1</v>
      </c>
      <c r="E8" s="32">
        <v>46063</v>
      </c>
      <c r="F8" s="33">
        <v>46067</v>
      </c>
      <c r="G8" s="26"/>
      <c r="H8" s="26">
        <f t="shared" ref="H8:H39" si="4">IF(OR(ISBLANK(E8),ISBLANK(F8)),"",F8-E8+1)</f>
        <v>5</v>
      </c>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row>
    <row r="9" spans="1:64" s="28" customFormat="1" ht="21.75" customHeight="1" x14ac:dyDescent="0.2">
      <c r="A9" s="17"/>
      <c r="B9" s="34" t="s">
        <v>14</v>
      </c>
      <c r="C9" s="35" t="s">
        <v>13</v>
      </c>
      <c r="D9" s="36">
        <v>1</v>
      </c>
      <c r="E9" s="37">
        <v>46063</v>
      </c>
      <c r="F9" s="38">
        <v>46063</v>
      </c>
      <c r="G9" s="26"/>
      <c r="H9" s="26">
        <f t="shared" si="4"/>
        <v>1</v>
      </c>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row>
    <row r="10" spans="1:64" s="28" customFormat="1" ht="21.75" customHeight="1" x14ac:dyDescent="0.2">
      <c r="A10" s="17"/>
      <c r="B10" s="34" t="s">
        <v>15</v>
      </c>
      <c r="C10" s="35" t="s">
        <v>13</v>
      </c>
      <c r="D10" s="36">
        <v>1</v>
      </c>
      <c r="E10" s="37">
        <v>46063</v>
      </c>
      <c r="F10" s="38">
        <v>46064</v>
      </c>
      <c r="G10" s="26"/>
      <c r="H10" s="26">
        <f t="shared" si="4"/>
        <v>2</v>
      </c>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row>
    <row r="11" spans="1:64" s="28" customFormat="1" ht="21.75" customHeight="1" x14ac:dyDescent="0.2">
      <c r="A11" s="17"/>
      <c r="B11" s="34" t="s">
        <v>16</v>
      </c>
      <c r="C11" s="35" t="s">
        <v>13</v>
      </c>
      <c r="D11" s="36">
        <v>1</v>
      </c>
      <c r="E11" s="37">
        <v>46065</v>
      </c>
      <c r="F11" s="38">
        <v>46066</v>
      </c>
      <c r="G11" s="26"/>
      <c r="H11" s="26">
        <f t="shared" si="4"/>
        <v>2</v>
      </c>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row>
    <row r="12" spans="1:64" s="28" customFormat="1" ht="21.75" customHeight="1" x14ac:dyDescent="0.2">
      <c r="A12" s="17"/>
      <c r="B12" s="34" t="s">
        <v>17</v>
      </c>
      <c r="C12" s="35" t="s">
        <v>13</v>
      </c>
      <c r="D12" s="36">
        <v>1</v>
      </c>
      <c r="E12" s="37">
        <v>46066</v>
      </c>
      <c r="F12" s="38">
        <v>46066</v>
      </c>
      <c r="G12" s="26"/>
      <c r="H12" s="26">
        <f t="shared" si="4"/>
        <v>1</v>
      </c>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row>
    <row r="13" spans="1:64" s="28" customFormat="1" ht="21.75" customHeight="1" x14ac:dyDescent="0.2">
      <c r="A13" s="17"/>
      <c r="B13" s="34" t="s">
        <v>18</v>
      </c>
      <c r="C13" s="35" t="s">
        <v>13</v>
      </c>
      <c r="D13" s="36">
        <v>1</v>
      </c>
      <c r="E13" s="37">
        <v>46067</v>
      </c>
      <c r="F13" s="38">
        <v>46067</v>
      </c>
      <c r="G13" s="26"/>
      <c r="H13" s="26">
        <f t="shared" si="4"/>
        <v>1</v>
      </c>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row>
    <row r="14" spans="1:64" s="28" customFormat="1" ht="21.75" customHeight="1" x14ac:dyDescent="0.2">
      <c r="A14" s="17"/>
      <c r="B14" s="34" t="s">
        <v>19</v>
      </c>
      <c r="C14" s="35" t="s">
        <v>13</v>
      </c>
      <c r="D14" s="36">
        <v>1</v>
      </c>
      <c r="E14" s="37">
        <v>46067</v>
      </c>
      <c r="F14" s="38">
        <v>46067</v>
      </c>
      <c r="G14" s="26"/>
      <c r="H14" s="26">
        <f t="shared" si="4"/>
        <v>1</v>
      </c>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row>
    <row r="15" spans="1:64" s="28" customFormat="1" ht="21.75" customHeight="1" x14ac:dyDescent="0.2">
      <c r="A15" s="17"/>
      <c r="B15" s="34" t="s">
        <v>20</v>
      </c>
      <c r="C15" s="35" t="s">
        <v>13</v>
      </c>
      <c r="D15" s="36">
        <v>1</v>
      </c>
      <c r="E15" s="37">
        <v>46067</v>
      </c>
      <c r="F15" s="38">
        <v>46067</v>
      </c>
      <c r="G15" s="26"/>
      <c r="H15" s="26">
        <f t="shared" si="4"/>
        <v>1</v>
      </c>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row>
    <row r="16" spans="1:64" s="28" customFormat="1" ht="21.75" customHeight="1" x14ac:dyDescent="0.2">
      <c r="A16" s="17"/>
      <c r="B16" s="34" t="s">
        <v>21</v>
      </c>
      <c r="C16" s="35" t="s">
        <v>13</v>
      </c>
      <c r="D16" s="36">
        <v>1</v>
      </c>
      <c r="E16" s="37">
        <v>46066</v>
      </c>
      <c r="F16" s="38">
        <v>46067</v>
      </c>
      <c r="G16" s="26"/>
      <c r="H16" s="26">
        <f t="shared" si="4"/>
        <v>2</v>
      </c>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row>
    <row r="17" spans="1:64" s="28" customFormat="1" ht="21.75" customHeight="1" x14ac:dyDescent="0.2">
      <c r="A17" s="17"/>
      <c r="B17" s="34" t="s">
        <v>22</v>
      </c>
      <c r="C17" s="35" t="s">
        <v>13</v>
      </c>
      <c r="D17" s="36">
        <v>1</v>
      </c>
      <c r="E17" s="37">
        <v>46063</v>
      </c>
      <c r="F17" s="38">
        <v>46067</v>
      </c>
      <c r="G17" s="26"/>
      <c r="H17" s="26">
        <f t="shared" si="4"/>
        <v>5</v>
      </c>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row>
    <row r="18" spans="1:64" s="28" customFormat="1" ht="21.75" customHeight="1" x14ac:dyDescent="0.2">
      <c r="A18" s="17"/>
      <c r="B18" s="29" t="s">
        <v>23</v>
      </c>
      <c r="C18" s="30" t="s">
        <v>24</v>
      </c>
      <c r="D18" s="31">
        <v>1</v>
      </c>
      <c r="E18" s="32">
        <v>46060</v>
      </c>
      <c r="F18" s="33">
        <v>46066</v>
      </c>
      <c r="G18" s="26"/>
      <c r="H18" s="26">
        <f t="shared" si="4"/>
        <v>7</v>
      </c>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row>
    <row r="19" spans="1:64" s="28" customFormat="1" ht="21.75" customHeight="1" x14ac:dyDescent="0.2">
      <c r="A19" s="17"/>
      <c r="B19" s="34" t="s">
        <v>25</v>
      </c>
      <c r="C19" s="35" t="s">
        <v>13</v>
      </c>
      <c r="D19" s="36">
        <v>1</v>
      </c>
      <c r="E19" s="37">
        <v>46060</v>
      </c>
      <c r="F19" s="38">
        <v>46061</v>
      </c>
      <c r="G19" s="26"/>
      <c r="H19" s="26">
        <f t="shared" si="4"/>
        <v>2</v>
      </c>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row>
    <row r="20" spans="1:64" s="28" customFormat="1" ht="21.75" customHeight="1" x14ac:dyDescent="0.2">
      <c r="A20" s="17"/>
      <c r="B20" s="34" t="s">
        <v>26</v>
      </c>
      <c r="C20" s="35" t="s">
        <v>27</v>
      </c>
      <c r="D20" s="36">
        <v>1</v>
      </c>
      <c r="E20" s="37">
        <v>46060</v>
      </c>
      <c r="F20" s="38">
        <v>46061</v>
      </c>
      <c r="G20" s="26"/>
      <c r="H20" s="26">
        <f t="shared" si="4"/>
        <v>2</v>
      </c>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row>
    <row r="21" spans="1:64" s="28" customFormat="1" ht="21.75" customHeight="1" x14ac:dyDescent="0.2">
      <c r="A21" s="17"/>
      <c r="B21" s="34" t="s">
        <v>28</v>
      </c>
      <c r="C21" s="35" t="s">
        <v>13</v>
      </c>
      <c r="D21" s="36">
        <v>1</v>
      </c>
      <c r="E21" s="37">
        <v>46062</v>
      </c>
      <c r="F21" s="38">
        <v>46062</v>
      </c>
      <c r="G21" s="26"/>
      <c r="H21" s="26">
        <f t="shared" si="4"/>
        <v>1</v>
      </c>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row>
    <row r="22" spans="1:64" s="28" customFormat="1" ht="21.75" customHeight="1" x14ac:dyDescent="0.2">
      <c r="A22" s="17"/>
      <c r="B22" s="34" t="s">
        <v>29</v>
      </c>
      <c r="C22" s="35" t="s">
        <v>13</v>
      </c>
      <c r="D22" s="36">
        <v>1</v>
      </c>
      <c r="E22" s="37">
        <v>46065</v>
      </c>
      <c r="F22" s="38">
        <v>46065</v>
      </c>
      <c r="G22" s="26"/>
      <c r="H22" s="26">
        <f t="shared" si="4"/>
        <v>1</v>
      </c>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row>
    <row r="23" spans="1:64" s="28" customFormat="1" ht="21.75" customHeight="1" x14ac:dyDescent="0.2">
      <c r="A23" s="17"/>
      <c r="B23" s="34" t="s">
        <v>30</v>
      </c>
      <c r="C23" s="35" t="s">
        <v>31</v>
      </c>
      <c r="D23" s="36">
        <v>1</v>
      </c>
      <c r="E23" s="37">
        <v>46066</v>
      </c>
      <c r="F23" s="38">
        <v>46066</v>
      </c>
      <c r="G23" s="26"/>
      <c r="H23" s="26">
        <f t="shared" si="4"/>
        <v>1</v>
      </c>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row>
    <row r="24" spans="1:64" s="28" customFormat="1" ht="21.75" customHeight="1" x14ac:dyDescent="0.2">
      <c r="A24" s="17"/>
      <c r="B24" s="34" t="s">
        <v>32</v>
      </c>
      <c r="C24" s="35" t="s">
        <v>13</v>
      </c>
      <c r="D24" s="36">
        <v>1</v>
      </c>
      <c r="E24" s="37">
        <v>46066</v>
      </c>
      <c r="F24" s="38">
        <v>46066</v>
      </c>
      <c r="G24" s="26"/>
      <c r="H24" s="26">
        <f t="shared" si="4"/>
        <v>1</v>
      </c>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row>
    <row r="25" spans="1:64" s="28" customFormat="1" ht="21.75" customHeight="1" x14ac:dyDescent="0.2">
      <c r="A25" s="17"/>
      <c r="B25" s="29" t="s">
        <v>33</v>
      </c>
      <c r="C25" s="30" t="s">
        <v>27</v>
      </c>
      <c r="D25" s="31">
        <v>0</v>
      </c>
      <c r="E25" s="32">
        <v>46070</v>
      </c>
      <c r="F25" s="33">
        <v>46074</v>
      </c>
      <c r="G25" s="26"/>
      <c r="H25" s="26">
        <f t="shared" si="4"/>
        <v>5</v>
      </c>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row>
    <row r="26" spans="1:64" s="28" customFormat="1" ht="21.75" customHeight="1" x14ac:dyDescent="0.2">
      <c r="A26" s="17"/>
      <c r="B26" s="34" t="s">
        <v>34</v>
      </c>
      <c r="C26" s="35" t="s">
        <v>13</v>
      </c>
      <c r="D26" s="36">
        <v>0</v>
      </c>
      <c r="E26" s="37">
        <v>46070</v>
      </c>
      <c r="F26" s="38">
        <v>46070</v>
      </c>
      <c r="G26" s="26"/>
      <c r="H26" s="26">
        <f t="shared" si="4"/>
        <v>1</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row>
    <row r="27" spans="1:64" s="28" customFormat="1" ht="21.75" customHeight="1" x14ac:dyDescent="0.2">
      <c r="A27" s="17"/>
      <c r="B27" s="34" t="s">
        <v>35</v>
      </c>
      <c r="C27" s="35" t="s">
        <v>13</v>
      </c>
      <c r="D27" s="36">
        <v>0</v>
      </c>
      <c r="E27" s="37">
        <v>46071</v>
      </c>
      <c r="F27" s="38">
        <v>46071</v>
      </c>
      <c r="G27" s="26"/>
      <c r="H27" s="26">
        <f t="shared" si="4"/>
        <v>1</v>
      </c>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row>
    <row r="28" spans="1:64" s="28" customFormat="1" ht="21.75" customHeight="1" x14ac:dyDescent="0.2">
      <c r="A28" s="17"/>
      <c r="B28" s="34" t="s">
        <v>36</v>
      </c>
      <c r="C28" s="35" t="s">
        <v>37</v>
      </c>
      <c r="D28" s="36">
        <v>0</v>
      </c>
      <c r="E28" s="37">
        <v>46071</v>
      </c>
      <c r="F28" s="38">
        <v>46071</v>
      </c>
      <c r="G28" s="26"/>
      <c r="H28" s="26">
        <f t="shared" si="4"/>
        <v>1</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row>
    <row r="29" spans="1:64" s="28" customFormat="1" ht="21.75" customHeight="1" x14ac:dyDescent="0.2">
      <c r="A29" s="17"/>
      <c r="B29" s="34" t="s">
        <v>38</v>
      </c>
      <c r="C29" s="35" t="s">
        <v>37</v>
      </c>
      <c r="D29" s="36">
        <v>0</v>
      </c>
      <c r="E29" s="37">
        <v>46072</v>
      </c>
      <c r="F29" s="38">
        <v>46072</v>
      </c>
      <c r="G29" s="26"/>
      <c r="H29" s="26">
        <f t="shared" si="4"/>
        <v>1</v>
      </c>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row>
    <row r="30" spans="1:64" s="28" customFormat="1" ht="21.75" customHeight="1" x14ac:dyDescent="0.2">
      <c r="A30" s="17"/>
      <c r="B30" s="34" t="s">
        <v>39</v>
      </c>
      <c r="C30" s="35" t="s">
        <v>13</v>
      </c>
      <c r="D30" s="36">
        <v>0</v>
      </c>
      <c r="E30" s="37">
        <v>46070</v>
      </c>
      <c r="F30" s="38">
        <v>46070</v>
      </c>
      <c r="G30" s="26"/>
      <c r="H30" s="26">
        <f t="shared" si="4"/>
        <v>1</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row>
    <row r="31" spans="1:64" s="28" customFormat="1" ht="21.75" customHeight="1" x14ac:dyDescent="0.2">
      <c r="A31" s="17"/>
      <c r="B31" s="34" t="s">
        <v>40</v>
      </c>
      <c r="C31" s="35" t="s">
        <v>31</v>
      </c>
      <c r="D31" s="36">
        <v>0</v>
      </c>
      <c r="E31" s="37">
        <v>46070</v>
      </c>
      <c r="F31" s="38">
        <v>46072</v>
      </c>
      <c r="G31" s="26"/>
      <c r="H31" s="26">
        <f t="shared" si="4"/>
        <v>3</v>
      </c>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row>
    <row r="32" spans="1:64" s="28" customFormat="1" ht="21.75" customHeight="1" x14ac:dyDescent="0.2">
      <c r="A32" s="17"/>
      <c r="B32" s="34" t="s">
        <v>41</v>
      </c>
      <c r="C32" s="35" t="s">
        <v>31</v>
      </c>
      <c r="D32" s="36">
        <v>0</v>
      </c>
      <c r="E32" s="37">
        <v>46073</v>
      </c>
      <c r="F32" s="38">
        <v>46073</v>
      </c>
      <c r="G32" s="26"/>
      <c r="H32" s="26">
        <f t="shared" si="4"/>
        <v>1</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row>
    <row r="33" spans="1:64" s="28" customFormat="1" ht="21.75" customHeight="1" x14ac:dyDescent="0.2">
      <c r="A33" s="17"/>
      <c r="B33" s="34" t="s">
        <v>42</v>
      </c>
      <c r="C33" s="35" t="s">
        <v>43</v>
      </c>
      <c r="D33" s="36">
        <v>0</v>
      </c>
      <c r="E33" s="37">
        <v>46073</v>
      </c>
      <c r="F33" s="38">
        <v>46074</v>
      </c>
      <c r="G33" s="26"/>
      <c r="H33" s="26">
        <f t="shared" si="4"/>
        <v>2</v>
      </c>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row>
    <row r="34" spans="1:64" s="28" customFormat="1" ht="21.75" customHeight="1" x14ac:dyDescent="0.2">
      <c r="A34" s="17"/>
      <c r="B34" s="29" t="s">
        <v>44</v>
      </c>
      <c r="C34" s="30" t="s">
        <v>27</v>
      </c>
      <c r="D34" s="31">
        <v>0</v>
      </c>
      <c r="E34" s="32">
        <v>46077</v>
      </c>
      <c r="F34" s="33">
        <v>46088</v>
      </c>
      <c r="G34" s="26"/>
      <c r="H34" s="26">
        <f t="shared" si="4"/>
        <v>12</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row>
    <row r="35" spans="1:64" s="28" customFormat="1" ht="21.75" customHeight="1" x14ac:dyDescent="0.2">
      <c r="A35" s="17"/>
      <c r="B35" s="34" t="s">
        <v>45</v>
      </c>
      <c r="C35" s="35" t="s">
        <v>13</v>
      </c>
      <c r="D35" s="36">
        <v>0</v>
      </c>
      <c r="E35" s="37">
        <v>46077</v>
      </c>
      <c r="F35" s="38">
        <v>46077</v>
      </c>
      <c r="G35" s="26"/>
      <c r="H35" s="26">
        <f t="shared" si="4"/>
        <v>1</v>
      </c>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row>
    <row r="36" spans="1:64" s="28" customFormat="1" ht="21.75" customHeight="1" x14ac:dyDescent="0.2">
      <c r="A36" s="17"/>
      <c r="B36" s="34" t="s">
        <v>46</v>
      </c>
      <c r="C36" s="35" t="s">
        <v>13</v>
      </c>
      <c r="D36" s="36">
        <v>0</v>
      </c>
      <c r="E36" s="37">
        <v>46077</v>
      </c>
      <c r="F36" s="38">
        <v>46077</v>
      </c>
      <c r="G36" s="26"/>
      <c r="H36" s="26">
        <f t="shared" si="4"/>
        <v>1</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row>
    <row r="37" spans="1:64" s="28" customFormat="1" ht="21.75" customHeight="1" x14ac:dyDescent="0.2">
      <c r="A37" s="17"/>
      <c r="B37" s="34" t="s">
        <v>47</v>
      </c>
      <c r="C37" s="35" t="s">
        <v>13</v>
      </c>
      <c r="D37" s="36">
        <v>0</v>
      </c>
      <c r="E37" s="37">
        <v>46077</v>
      </c>
      <c r="F37" s="38">
        <v>46077</v>
      </c>
      <c r="G37" s="26"/>
      <c r="H37" s="26">
        <f t="shared" si="4"/>
        <v>1</v>
      </c>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row>
    <row r="38" spans="1:64" s="28" customFormat="1" ht="21.75" customHeight="1" x14ac:dyDescent="0.2">
      <c r="A38" s="17"/>
      <c r="B38" s="34" t="s">
        <v>48</v>
      </c>
      <c r="C38" s="35" t="s">
        <v>13</v>
      </c>
      <c r="D38" s="36">
        <v>0</v>
      </c>
      <c r="E38" s="37">
        <v>46078</v>
      </c>
      <c r="F38" s="38">
        <v>46078</v>
      </c>
      <c r="G38" s="26"/>
      <c r="H38" s="26">
        <f t="shared" si="4"/>
        <v>1</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row>
    <row r="39" spans="1:64" s="28" customFormat="1" ht="21.75" customHeight="1" x14ac:dyDescent="0.2">
      <c r="A39" s="17"/>
      <c r="B39" s="34" t="s">
        <v>49</v>
      </c>
      <c r="C39" s="35" t="s">
        <v>13</v>
      </c>
      <c r="D39" s="36">
        <v>0</v>
      </c>
      <c r="E39" s="37">
        <v>46078</v>
      </c>
      <c r="F39" s="38">
        <v>46079</v>
      </c>
      <c r="G39" s="26"/>
      <c r="H39" s="26">
        <f t="shared" si="4"/>
        <v>2</v>
      </c>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row>
    <row r="40" spans="1:64" s="28" customFormat="1" ht="21.75" customHeight="1" x14ac:dyDescent="0.2">
      <c r="A40" s="17"/>
      <c r="B40" s="34" t="s">
        <v>50</v>
      </c>
      <c r="C40" s="35" t="s">
        <v>13</v>
      </c>
      <c r="D40" s="36">
        <v>0</v>
      </c>
      <c r="E40" s="37">
        <v>46079</v>
      </c>
      <c r="F40" s="38">
        <v>46080</v>
      </c>
      <c r="G40" s="26"/>
      <c r="H40" s="26">
        <f t="shared" ref="H40:H67" si="5">IF(OR(ISBLANK(E40),ISBLANK(F40)),"",F40-E40+1)</f>
        <v>2</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row>
    <row r="41" spans="1:64" s="28" customFormat="1" ht="21.75" customHeight="1" x14ac:dyDescent="0.2">
      <c r="A41" s="17"/>
      <c r="B41" s="34" t="s">
        <v>51</v>
      </c>
      <c r="C41" s="35" t="s">
        <v>13</v>
      </c>
      <c r="D41" s="36">
        <v>0</v>
      </c>
      <c r="E41" s="37">
        <v>46080</v>
      </c>
      <c r="F41" s="38">
        <v>46081</v>
      </c>
      <c r="G41" s="26"/>
      <c r="H41" s="26">
        <f t="shared" si="5"/>
        <v>2</v>
      </c>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row>
    <row r="42" spans="1:64" ht="21" x14ac:dyDescent="0.2">
      <c r="A42" s="17"/>
      <c r="B42" s="34" t="s">
        <v>52</v>
      </c>
      <c r="C42" s="35" t="s">
        <v>13</v>
      </c>
      <c r="D42" s="39">
        <v>0</v>
      </c>
      <c r="E42" s="37">
        <v>46081</v>
      </c>
      <c r="F42" s="38">
        <v>46081</v>
      </c>
      <c r="G42" s="26"/>
      <c r="H42" s="26">
        <f t="shared" si="5"/>
        <v>1</v>
      </c>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row>
    <row r="43" spans="1:64" ht="21" x14ac:dyDescent="0.2">
      <c r="A43" s="17"/>
      <c r="B43" s="34" t="s">
        <v>53</v>
      </c>
      <c r="C43" s="35" t="s">
        <v>37</v>
      </c>
      <c r="D43" s="39">
        <v>0</v>
      </c>
      <c r="E43" s="37">
        <v>46079</v>
      </c>
      <c r="F43" s="38">
        <v>46081</v>
      </c>
      <c r="G43" s="26"/>
      <c r="H43" s="26">
        <f t="shared" si="5"/>
        <v>3</v>
      </c>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row>
    <row r="44" spans="1:64" ht="21" x14ac:dyDescent="0.2">
      <c r="A44" s="17"/>
      <c r="B44" s="40" t="s">
        <v>54</v>
      </c>
      <c r="C44" s="41" t="s">
        <v>31</v>
      </c>
      <c r="D44" s="39">
        <v>0</v>
      </c>
      <c r="E44" s="37">
        <v>46084</v>
      </c>
      <c r="F44" s="38">
        <v>46084</v>
      </c>
      <c r="G44" s="26"/>
      <c r="H44" s="26">
        <f t="shared" si="5"/>
        <v>1</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row>
    <row r="45" spans="1:64" ht="21" x14ac:dyDescent="0.2">
      <c r="A45" s="17"/>
      <c r="B45" s="34" t="s">
        <v>55</v>
      </c>
      <c r="C45" s="35" t="s">
        <v>31</v>
      </c>
      <c r="D45" s="39">
        <v>0</v>
      </c>
      <c r="E45" s="37">
        <v>46085</v>
      </c>
      <c r="F45" s="38">
        <v>46085</v>
      </c>
      <c r="G45" s="26"/>
      <c r="H45" s="26">
        <f t="shared" si="5"/>
        <v>1</v>
      </c>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row>
    <row r="46" spans="1:64" ht="21" x14ac:dyDescent="0.2">
      <c r="A46" s="17"/>
      <c r="B46" s="34" t="s">
        <v>56</v>
      </c>
      <c r="C46" s="35" t="s">
        <v>31</v>
      </c>
      <c r="D46" s="39">
        <v>0</v>
      </c>
      <c r="E46" s="37">
        <v>46085</v>
      </c>
      <c r="F46" s="38">
        <v>46086</v>
      </c>
      <c r="G46" s="26"/>
      <c r="H46" s="26">
        <f t="shared" si="5"/>
        <v>2</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row>
    <row r="47" spans="1:64" ht="21" x14ac:dyDescent="0.2">
      <c r="A47" s="17"/>
      <c r="B47" s="34" t="s">
        <v>57</v>
      </c>
      <c r="C47" s="35" t="s">
        <v>31</v>
      </c>
      <c r="D47" s="39">
        <v>0</v>
      </c>
      <c r="E47" s="37">
        <v>46086</v>
      </c>
      <c r="F47" s="38">
        <v>46087</v>
      </c>
      <c r="G47" s="26"/>
      <c r="H47" s="26">
        <f t="shared" si="5"/>
        <v>2</v>
      </c>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row>
    <row r="48" spans="1:64" ht="21" x14ac:dyDescent="0.2">
      <c r="A48" s="17"/>
      <c r="B48" s="34" t="s">
        <v>58</v>
      </c>
      <c r="C48" s="35" t="s">
        <v>37</v>
      </c>
      <c r="D48" s="39">
        <v>0</v>
      </c>
      <c r="E48" s="37">
        <v>46087</v>
      </c>
      <c r="F48" s="38">
        <v>46088</v>
      </c>
      <c r="G48" s="26"/>
      <c r="H48" s="26">
        <f t="shared" si="5"/>
        <v>2</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row>
    <row r="49" spans="1:64" ht="21" x14ac:dyDescent="0.2">
      <c r="A49" s="17"/>
      <c r="B49" s="29" t="s">
        <v>59</v>
      </c>
      <c r="C49" s="30" t="s">
        <v>27</v>
      </c>
      <c r="D49" s="42">
        <v>0</v>
      </c>
      <c r="E49" s="32">
        <v>46086</v>
      </c>
      <c r="F49" s="33">
        <v>46095</v>
      </c>
      <c r="G49" s="26"/>
      <c r="H49" s="26">
        <f t="shared" si="5"/>
        <v>10</v>
      </c>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row>
    <row r="50" spans="1:64" ht="21" x14ac:dyDescent="0.2">
      <c r="A50" s="17"/>
      <c r="B50" s="34" t="s">
        <v>60</v>
      </c>
      <c r="C50" s="35" t="s">
        <v>13</v>
      </c>
      <c r="D50" s="39">
        <v>0</v>
      </c>
      <c r="E50" s="37">
        <v>46086</v>
      </c>
      <c r="F50" s="38">
        <v>46086</v>
      </c>
      <c r="G50" s="26"/>
      <c r="H50" s="26">
        <f t="shared" si="5"/>
        <v>1</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row>
    <row r="51" spans="1:64" ht="21" x14ac:dyDescent="0.2">
      <c r="A51" s="17"/>
      <c r="B51" s="34" t="s">
        <v>61</v>
      </c>
      <c r="C51" s="35" t="s">
        <v>13</v>
      </c>
      <c r="D51" s="39">
        <v>0</v>
      </c>
      <c r="E51" s="37">
        <v>46086</v>
      </c>
      <c r="F51" s="38">
        <v>46086</v>
      </c>
      <c r="G51" s="26"/>
      <c r="H51" s="26">
        <f t="shared" si="5"/>
        <v>1</v>
      </c>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row>
    <row r="52" spans="1:64" ht="21" x14ac:dyDescent="0.2">
      <c r="A52" s="17"/>
      <c r="B52" s="34" t="s">
        <v>62</v>
      </c>
      <c r="C52" s="35" t="s">
        <v>13</v>
      </c>
      <c r="D52" s="39">
        <v>0</v>
      </c>
      <c r="E52" s="37">
        <v>46087</v>
      </c>
      <c r="F52" s="38">
        <v>46087</v>
      </c>
      <c r="G52" s="26"/>
      <c r="H52" s="26">
        <f t="shared" si="5"/>
        <v>1</v>
      </c>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row>
    <row r="53" spans="1:64" ht="21" x14ac:dyDescent="0.2">
      <c r="A53" s="17"/>
      <c r="B53" s="34" t="s">
        <v>63</v>
      </c>
      <c r="C53" s="35" t="s">
        <v>13</v>
      </c>
      <c r="D53" s="39">
        <v>0</v>
      </c>
      <c r="E53" s="37">
        <v>46087</v>
      </c>
      <c r="F53" s="38">
        <v>46088</v>
      </c>
      <c r="G53" s="26"/>
      <c r="H53" s="26">
        <f t="shared" si="5"/>
        <v>2</v>
      </c>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row>
    <row r="54" spans="1:64" ht="21" x14ac:dyDescent="0.2">
      <c r="A54" s="17"/>
      <c r="B54" s="34" t="s">
        <v>64</v>
      </c>
      <c r="C54" s="35" t="s">
        <v>31</v>
      </c>
      <c r="D54" s="39">
        <v>0</v>
      </c>
      <c r="E54" s="37">
        <v>46091</v>
      </c>
      <c r="F54" s="38">
        <v>46091</v>
      </c>
      <c r="G54" s="26"/>
      <c r="H54" s="26">
        <f t="shared" si="5"/>
        <v>1</v>
      </c>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row>
    <row r="55" spans="1:64" ht="21" x14ac:dyDescent="0.2">
      <c r="A55" s="17"/>
      <c r="B55" s="34" t="s">
        <v>65</v>
      </c>
      <c r="C55" s="35" t="s">
        <v>31</v>
      </c>
      <c r="D55" s="39">
        <v>0</v>
      </c>
      <c r="E55" s="37">
        <v>46091</v>
      </c>
      <c r="F55" s="38">
        <v>46092</v>
      </c>
      <c r="G55" s="26"/>
      <c r="H55" s="26">
        <f t="shared" si="5"/>
        <v>2</v>
      </c>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row>
    <row r="56" spans="1:64" ht="21" x14ac:dyDescent="0.2">
      <c r="A56" s="17"/>
      <c r="B56" s="34" t="s">
        <v>66</v>
      </c>
      <c r="C56" s="35" t="s">
        <v>31</v>
      </c>
      <c r="D56" s="39">
        <v>0</v>
      </c>
      <c r="E56" s="37">
        <v>46092</v>
      </c>
      <c r="F56" s="38">
        <v>46093</v>
      </c>
      <c r="G56" s="26"/>
      <c r="H56" s="26">
        <f t="shared" si="5"/>
        <v>2</v>
      </c>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row>
    <row r="57" spans="1:64" ht="21" x14ac:dyDescent="0.2">
      <c r="A57" s="17"/>
      <c r="B57" s="34" t="s">
        <v>67</v>
      </c>
      <c r="C57" s="35" t="s">
        <v>31</v>
      </c>
      <c r="D57" s="39">
        <v>0</v>
      </c>
      <c r="E57" s="37">
        <v>46093</v>
      </c>
      <c r="F57" s="38">
        <v>46094</v>
      </c>
      <c r="G57" s="26"/>
      <c r="H57" s="26">
        <f t="shared" si="5"/>
        <v>2</v>
      </c>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row>
    <row r="58" spans="1:64" ht="21" x14ac:dyDescent="0.2">
      <c r="A58" s="17"/>
      <c r="B58" s="34" t="s">
        <v>68</v>
      </c>
      <c r="C58" s="35" t="s">
        <v>31</v>
      </c>
      <c r="D58" s="39">
        <v>0</v>
      </c>
      <c r="E58" s="37">
        <v>46094</v>
      </c>
      <c r="F58" s="38">
        <v>46094</v>
      </c>
      <c r="G58" s="26"/>
      <c r="H58" s="26">
        <f t="shared" si="5"/>
        <v>1</v>
      </c>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row>
    <row r="59" spans="1:64" ht="21" x14ac:dyDescent="0.2">
      <c r="A59" s="17"/>
      <c r="B59" s="34" t="s">
        <v>69</v>
      </c>
      <c r="C59" s="35" t="s">
        <v>37</v>
      </c>
      <c r="D59" s="39">
        <v>0</v>
      </c>
      <c r="E59" s="37">
        <v>46094</v>
      </c>
      <c r="F59" s="38">
        <v>46095</v>
      </c>
      <c r="G59" s="26"/>
      <c r="H59" s="26">
        <f t="shared" si="5"/>
        <v>2</v>
      </c>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row>
    <row r="60" spans="1:64" ht="21" x14ac:dyDescent="0.2">
      <c r="A60" s="17"/>
      <c r="B60" s="29" t="s">
        <v>70</v>
      </c>
      <c r="C60" s="30" t="s">
        <v>27</v>
      </c>
      <c r="D60" s="42">
        <v>0</v>
      </c>
      <c r="E60" s="32">
        <v>46098</v>
      </c>
      <c r="F60" s="33">
        <v>46112</v>
      </c>
      <c r="G60" s="26"/>
      <c r="H60" s="26">
        <f t="shared" si="5"/>
        <v>15</v>
      </c>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row>
    <row r="61" spans="1:64" ht="21" x14ac:dyDescent="0.2">
      <c r="A61" s="17"/>
      <c r="B61" s="34" t="s">
        <v>71</v>
      </c>
      <c r="C61" s="35" t="s">
        <v>31</v>
      </c>
      <c r="D61" s="39">
        <v>0</v>
      </c>
      <c r="E61" s="37">
        <v>46098</v>
      </c>
      <c r="F61" s="38">
        <v>46100</v>
      </c>
      <c r="G61" s="26"/>
      <c r="H61" s="26">
        <f t="shared" si="5"/>
        <v>3</v>
      </c>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row>
    <row r="62" spans="1:64" ht="21" x14ac:dyDescent="0.2">
      <c r="A62" s="17"/>
      <c r="B62" s="34" t="s">
        <v>72</v>
      </c>
      <c r="C62" s="35" t="s">
        <v>13</v>
      </c>
      <c r="D62" s="39">
        <v>0</v>
      </c>
      <c r="E62" s="37">
        <v>46100</v>
      </c>
      <c r="F62" s="38">
        <v>46101</v>
      </c>
      <c r="G62" s="26"/>
      <c r="H62" s="26">
        <f t="shared" si="5"/>
        <v>2</v>
      </c>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row>
    <row r="63" spans="1:64" ht="21" x14ac:dyDescent="0.2">
      <c r="A63" s="17"/>
      <c r="B63" s="34" t="s">
        <v>73</v>
      </c>
      <c r="C63" s="35" t="s">
        <v>13</v>
      </c>
      <c r="D63" s="39">
        <v>0</v>
      </c>
      <c r="E63" s="37">
        <v>46101</v>
      </c>
      <c r="F63" s="38">
        <v>46101</v>
      </c>
      <c r="G63" s="26"/>
      <c r="H63" s="26">
        <f t="shared" si="5"/>
        <v>1</v>
      </c>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row>
    <row r="64" spans="1:64" ht="21" x14ac:dyDescent="0.2">
      <c r="A64" s="17"/>
      <c r="B64" s="34" t="s">
        <v>74</v>
      </c>
      <c r="C64" s="35" t="s">
        <v>37</v>
      </c>
      <c r="D64" s="39">
        <v>0</v>
      </c>
      <c r="E64" s="37">
        <v>46104</v>
      </c>
      <c r="F64" s="38">
        <v>46105</v>
      </c>
      <c r="G64" s="26"/>
      <c r="H64" s="26">
        <f t="shared" si="5"/>
        <v>2</v>
      </c>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row>
    <row r="65" spans="1:64" ht="21" x14ac:dyDescent="0.2">
      <c r="A65" s="17"/>
      <c r="B65" s="34" t="s">
        <v>75</v>
      </c>
      <c r="C65" s="35" t="s">
        <v>31</v>
      </c>
      <c r="D65" s="39">
        <v>0</v>
      </c>
      <c r="E65" s="37">
        <v>46105</v>
      </c>
      <c r="F65" s="38">
        <v>46106</v>
      </c>
      <c r="G65" s="26"/>
      <c r="H65" s="26">
        <f t="shared" si="5"/>
        <v>2</v>
      </c>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row>
    <row r="66" spans="1:64" ht="21" x14ac:dyDescent="0.2">
      <c r="A66" s="17"/>
      <c r="B66" s="34" t="s">
        <v>76</v>
      </c>
      <c r="C66" s="35" t="s">
        <v>37</v>
      </c>
      <c r="D66" s="39">
        <v>0</v>
      </c>
      <c r="E66" s="37">
        <v>46107</v>
      </c>
      <c r="F66" s="38">
        <v>46108</v>
      </c>
      <c r="G66" s="26"/>
      <c r="H66" s="26">
        <f t="shared" si="5"/>
        <v>2</v>
      </c>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row>
    <row r="67" spans="1:64" ht="21" x14ac:dyDescent="0.2">
      <c r="A67" s="17"/>
      <c r="B67" s="34" t="s">
        <v>77</v>
      </c>
      <c r="C67" s="35" t="s">
        <v>13</v>
      </c>
      <c r="D67" s="39">
        <v>0</v>
      </c>
      <c r="E67" s="37">
        <v>46111</v>
      </c>
      <c r="F67" s="38">
        <v>46112</v>
      </c>
      <c r="G67" s="26"/>
      <c r="H67" s="26">
        <f t="shared" si="5"/>
        <v>2</v>
      </c>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row>
    <row r="68" spans="1:64" x14ac:dyDescent="0.2">
      <c r="E68" s="43"/>
      <c r="F68" s="43"/>
    </row>
    <row r="69" spans="1:64" x14ac:dyDescent="0.2">
      <c r="B69" s="44"/>
      <c r="E69" s="43"/>
      <c r="F69" s="43"/>
    </row>
    <row r="70" spans="1:64" x14ac:dyDescent="0.2">
      <c r="B70" s="44"/>
      <c r="E70" s="43"/>
      <c r="F70" s="43"/>
    </row>
    <row r="71" spans="1:64" x14ac:dyDescent="0.2">
      <c r="B71" s="44"/>
      <c r="E71" s="43"/>
      <c r="F71" s="43"/>
    </row>
    <row r="72" spans="1:64" x14ac:dyDescent="0.2">
      <c r="B72" s="44"/>
      <c r="E72" s="43"/>
      <c r="F72" s="43"/>
    </row>
    <row r="73" spans="1:64" x14ac:dyDescent="0.2">
      <c r="B73" s="44"/>
      <c r="E73" s="43"/>
      <c r="F73" s="43"/>
    </row>
    <row r="74" spans="1:64" x14ac:dyDescent="0.2">
      <c r="E74" s="43"/>
      <c r="F74" s="43"/>
    </row>
    <row r="75" spans="1:64" x14ac:dyDescent="0.2">
      <c r="B75" s="44"/>
      <c r="E75" s="43"/>
      <c r="F75" s="43"/>
    </row>
    <row r="76" spans="1:64" x14ac:dyDescent="0.2">
      <c r="B76" s="44"/>
      <c r="E76" s="43"/>
      <c r="F76" s="43"/>
    </row>
    <row r="77" spans="1:64" x14ac:dyDescent="0.2">
      <c r="E77" s="43"/>
      <c r="F77" s="43"/>
    </row>
    <row r="78" spans="1:64" x14ac:dyDescent="0.2">
      <c r="B78" s="45"/>
      <c r="E78" s="43"/>
      <c r="F78" s="43"/>
    </row>
    <row r="79" spans="1:64" x14ac:dyDescent="0.2">
      <c r="E79" s="43"/>
      <c r="F79" s="43"/>
    </row>
    <row r="80" spans="1:64" x14ac:dyDescent="0.2">
      <c r="B80" s="44"/>
      <c r="E80" s="43"/>
      <c r="F80" s="43"/>
    </row>
    <row r="81" spans="2:6" x14ac:dyDescent="0.2">
      <c r="B81" s="44"/>
      <c r="E81" s="43"/>
      <c r="F81" s="43"/>
    </row>
    <row r="82" spans="2:6" x14ac:dyDescent="0.2">
      <c r="B82" s="44"/>
      <c r="E82" s="43"/>
      <c r="F82" s="43"/>
    </row>
    <row r="83" spans="2:6" x14ac:dyDescent="0.2">
      <c r="B83" s="44"/>
      <c r="E83" s="43"/>
      <c r="F83" s="43"/>
    </row>
    <row r="84" spans="2:6" x14ac:dyDescent="0.2">
      <c r="B84" s="44"/>
      <c r="E84" s="43"/>
      <c r="F84" s="43"/>
    </row>
    <row r="85" spans="2:6" x14ac:dyDescent="0.2">
      <c r="B85" s="44"/>
      <c r="E85" s="43"/>
      <c r="F85" s="43"/>
    </row>
    <row r="86" spans="2:6" x14ac:dyDescent="0.2">
      <c r="E86" s="43"/>
      <c r="F86" s="43"/>
    </row>
    <row r="87" spans="2:6" x14ac:dyDescent="0.2">
      <c r="B87" s="44"/>
      <c r="E87" s="43"/>
      <c r="F87" s="43"/>
    </row>
    <row r="88" spans="2:6" x14ac:dyDescent="0.2">
      <c r="B88" s="44"/>
      <c r="E88" s="43"/>
      <c r="F88" s="43"/>
    </row>
    <row r="89" spans="2:6" x14ac:dyDescent="0.2">
      <c r="B89" s="44"/>
      <c r="E89" s="43"/>
      <c r="F89" s="43"/>
    </row>
    <row r="90" spans="2:6" x14ac:dyDescent="0.2">
      <c r="B90" s="44"/>
      <c r="E90" s="43"/>
      <c r="F90" s="43"/>
    </row>
  </sheetData>
  <mergeCells count="11">
    <mergeCell ref="AD4:AJ4"/>
    <mergeCell ref="AK4:AQ4"/>
    <mergeCell ref="AR4:AX4"/>
    <mergeCell ref="AY4:BE4"/>
    <mergeCell ref="BF4:BL4"/>
    <mergeCell ref="J1:AA1"/>
    <mergeCell ref="E2:F2"/>
    <mergeCell ref="E3:F3"/>
    <mergeCell ref="I4:O4"/>
    <mergeCell ref="P4:V4"/>
    <mergeCell ref="W4:AC4"/>
  </mergeCells>
  <conditionalFormatting sqref="D7:D70">
    <cfRule type="dataBar" priority="2">
      <dataBar>
        <cfvo type="num" val="0"/>
        <cfvo type="num" val="1"/>
        <color rgb="FFBFBFBF"/>
      </dataBar>
      <extLst>
        <ext xmlns:x14="http://schemas.microsoft.com/office/spreadsheetml/2009/9/main" uri="{B025F937-C7B1-47D3-B67F-A62EFF666E3E}">
          <x14:id>{8CC2CA20-9665-41A0-9159-F11444B83B56}</x14:id>
        </ext>
      </extLst>
    </cfRule>
  </conditionalFormatting>
  <conditionalFormatting sqref="I5:BL70">
    <cfRule type="expression" dxfId="2" priority="5">
      <formula>AND(today&gt;=I$5,today&lt;I$5+1)</formula>
    </cfRule>
  </conditionalFormatting>
  <conditionalFormatting sqref="I7:BL70">
    <cfRule type="expression" dxfId="1" priority="3">
      <formula>AND(task_start&lt;=I$5,ROUNDDOWN((task_end-task_start+1)*task_progress,0)+task_start-1&gt;=I$5)</formula>
    </cfRule>
    <cfRule type="expression" dxfId="0" priority="4">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formula2>0</formula2>
    </dataValidation>
  </dataValidations>
  <hyperlinks>
    <hyperlink ref="B43" r:id="rId1" xr:uid="{00000000-0004-0000-0000-000000000000}"/>
    <hyperlink ref="B44" r:id="rId2" xr:uid="{00000000-0004-0000-0000-000001000000}"/>
  </hyperlinks>
  <pageMargins left="0.35" right="0.35" top="0.35" bottom="0.5" header="0.511811023622047" footer="0.511811023622047"/>
  <pageSetup fitToHeight="0" orientation="landscape" horizontalDpi="300" verticalDpi="300"/>
  <legacyDrawing r:id="rId3"/>
  <extLst>
    <ext xmlns:x14="http://schemas.microsoft.com/office/spreadsheetml/2009/9/main" uri="{78C0D931-6437-407d-A8EE-F0AAD7539E65}">
      <x14:conditionalFormattings>
        <x14:conditionalFormatting xmlns:xm="http://schemas.microsoft.com/office/excel/2006/main">
          <x14:cfRule type="dataBar" id="{8CC2CA20-9665-41A0-9159-F11444B83B56}">
            <x14:dataBar axisPosition="none">
              <x14:cfvo type="num">
                <xm:f>0</xm:f>
              </x14:cfvo>
              <x14:cfvo type="num">
                <xm:f>1</xm:f>
              </x14:cfvo>
              <x14:negativeFillColor rgb="FFBFBFBF"/>
            </x14:dataBar>
          </x14:cfRule>
          <xm:sqref>D7:D70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baseColWidth="10" defaultColWidth="9.1640625" defaultRowHeight="14" x14ac:dyDescent="0.2"/>
  <cols>
    <col min="1" max="1" width="2.83203125" style="7" customWidth="1"/>
    <col min="2" max="2" width="87.1640625" style="46" customWidth="1"/>
    <col min="3" max="16384" width="9.1640625" style="7"/>
  </cols>
  <sheetData>
    <row r="1" spans="2:3" ht="46.5" customHeight="1" x14ac:dyDescent="0.2"/>
    <row r="2" spans="2:3" s="47" customFormat="1" ht="15.75" customHeight="1" x14ac:dyDescent="0.2">
      <c r="B2" s="48" t="s">
        <v>78</v>
      </c>
      <c r="C2" s="48"/>
    </row>
    <row r="3" spans="2:3" s="49" customFormat="1" ht="13.5" customHeight="1" x14ac:dyDescent="0.2">
      <c r="B3" s="50" t="s">
        <v>79</v>
      </c>
      <c r="C3" s="50"/>
    </row>
    <row r="4" spans="2:3" x14ac:dyDescent="0.2">
      <c r="B4" s="51" t="s">
        <v>80</v>
      </c>
    </row>
    <row r="6" spans="2:3" s="52" customFormat="1" ht="26.25" customHeight="1" x14ac:dyDescent="0.3">
      <c r="B6" s="53" t="s">
        <v>81</v>
      </c>
    </row>
    <row r="7" spans="2:3" ht="60" customHeight="1" x14ac:dyDescent="0.2">
      <c r="B7" s="54" t="s">
        <v>82</v>
      </c>
    </row>
    <row r="8" spans="2:3" ht="15" customHeight="1" x14ac:dyDescent="0.2">
      <c r="B8" s="55"/>
    </row>
    <row r="9" spans="2:3" s="52" customFormat="1" ht="26.25" customHeight="1" x14ac:dyDescent="0.3">
      <c r="B9" s="53" t="s">
        <v>83</v>
      </c>
    </row>
    <row r="10" spans="2:3" ht="60" customHeight="1" x14ac:dyDescent="0.2">
      <c r="B10" s="54" t="s">
        <v>84</v>
      </c>
    </row>
    <row r="11" spans="2:3" ht="14.25" customHeight="1" x14ac:dyDescent="0.2">
      <c r="B11" s="56" t="s">
        <v>85</v>
      </c>
    </row>
    <row r="12" spans="2:3" ht="15" customHeight="1" x14ac:dyDescent="0.2">
      <c r="B12" s="55"/>
    </row>
    <row r="13" spans="2:3" ht="14.25" customHeight="1" x14ac:dyDescent="0.2">
      <c r="B13" s="56" t="str">
        <f>HYPERLINK("https://vertex42.link/HowToMakeAGanttChart","► Watch How This Gantt Chart Was Created")</f>
        <v>► Watch How This Gantt Chart Was Created</v>
      </c>
    </row>
    <row r="14" spans="2:3" ht="15" customHeight="1" x14ac:dyDescent="0.2">
      <c r="B14" s="55"/>
    </row>
    <row r="15" spans="2:3" s="52" customFormat="1" ht="26.25" customHeight="1" x14ac:dyDescent="0.3">
      <c r="B15" s="53" t="s">
        <v>86</v>
      </c>
    </row>
    <row r="16" spans="2:3" ht="30" customHeight="1" x14ac:dyDescent="0.2">
      <c r="B16" s="54" t="s">
        <v>87</v>
      </c>
    </row>
    <row r="17" spans="2:2" ht="14.25" customHeight="1" x14ac:dyDescent="0.2">
      <c r="B17" s="56" t="s">
        <v>88</v>
      </c>
    </row>
    <row r="18" spans="2:2" ht="15" customHeight="1" x14ac:dyDescent="0.2">
      <c r="B18" s="55"/>
    </row>
    <row r="19" spans="2:2" s="52" customFormat="1" ht="26.25" customHeight="1" x14ac:dyDescent="0.3">
      <c r="B19" s="53" t="s">
        <v>89</v>
      </c>
    </row>
    <row r="20" spans="2:2" ht="60" customHeight="1" x14ac:dyDescent="0.2">
      <c r="B20" s="54" t="s">
        <v>90</v>
      </c>
    </row>
    <row r="21" spans="2:2" ht="15" customHeight="1" x14ac:dyDescent="0.2">
      <c r="B21" s="55"/>
    </row>
    <row r="22" spans="2:2" ht="75" customHeight="1" x14ac:dyDescent="0.2">
      <c r="B22" s="54" t="s">
        <v>91</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511811023622047" footer="0.511811023622047"/>
  <pageSetup orientation="portrait" horizontalDpi="300" verticalDpi="30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66A7FD4F81DA48B7179992077CEF5A" ma:contentTypeVersion="10" ma:contentTypeDescription="Create a new document." ma:contentTypeScope="" ma:versionID="b3f84475d75e91ddebbdf8a3fddc661a">
  <xsd:schema xmlns:xsd="http://www.w3.org/2001/XMLSchema" xmlns:xs="http://www.w3.org/2001/XMLSchema" xmlns:p="http://schemas.microsoft.com/office/2006/metadata/properties" xmlns:ns2="643d0106-16b0-4930-99c8-c6f7e3028567" xmlns:ns3="e6de8343-1d93-424d-b6de-f58e84b0326c" targetNamespace="http://schemas.microsoft.com/office/2006/metadata/properties" ma:root="true" ma:fieldsID="557b26bd1b1d6bb882d6297ee5460fa0" ns2:_="" ns3:_="">
    <xsd:import namespace="643d0106-16b0-4930-99c8-c6f7e3028567"/>
    <xsd:import namespace="e6de8343-1d93-424d-b6de-f58e84b032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3d0106-16b0-4930-99c8-c6f7e3028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8ba1f43-d29d-46ec-b588-71eeb4fc9d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de8343-1d93-424d-b6de-f58e84b0326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a25704-1f1d-40f6-9c9b-4e05b99fff48}" ma:internalName="TaxCatchAll" ma:showField="CatchAllData" ma:web="e6de8343-1d93-424d-b6de-f58e84b032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43d0106-16b0-4930-99c8-c6f7e3028567">
      <Terms xmlns="http://schemas.microsoft.com/office/infopath/2007/PartnerControls"/>
    </lcf76f155ced4ddcb4097134ff3c332f>
    <TaxCatchAll xmlns="e6de8343-1d93-424d-b6de-f58e84b0326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71C17-B406-4E15-A5B7-FE7164AABD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3d0106-16b0-4930-99c8-c6f7e3028567"/>
    <ds:schemaRef ds:uri="e6de8343-1d93-424d-b6de-f58e84b03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949DBD-030F-466C-AC74-D33B4F8866EC}">
  <ds:schemaRefs>
    <ds:schemaRef ds:uri="http://www.w3.org/XML/1998/namespace"/>
    <ds:schemaRef ds:uri="http://purl.org/dc/dcmitype/"/>
    <ds:schemaRef ds:uri="643d0106-16b0-4930-99c8-c6f7e3028567"/>
    <ds:schemaRef ds:uri="http://schemas.microsoft.com/office/2006/documentManagement/types"/>
    <ds:schemaRef ds:uri="e6de8343-1d93-424d-b6de-f58e84b0326c"/>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85191654-ADD4-458A-8A74-E7082E25BE5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dc:description>© 2018-2019 Vertex42 LLC. All Rights Reserved.</dc:description>
  <cp:lastModifiedBy>Stuart Holtby</cp:lastModifiedBy>
  <cp:revision>0</cp:revision>
  <cp:lastPrinted>2019-04-24T14:39:40Z</cp:lastPrinted>
  <dcterms:created xsi:type="dcterms:W3CDTF">2017-01-09T18:01:51Z</dcterms:created>
  <dcterms:modified xsi:type="dcterms:W3CDTF">2026-02-14T19:52:26Z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0x010100A366A7FD4F81DA48B7179992077CEF5A</vt:lpwstr>
  </property>
  <property fmtid="{D5CDD505-2E9C-101B-9397-08002B2CF9AE}" pid="3" name="Copyright">
    <vt:lpwstr>© 2019 Vertex42 LLC</vt:lpwstr>
  </property>
  <property fmtid="{D5CDD505-2E9C-101B-9397-08002B2CF9AE}" pid="4" name="MediaServiceImageTags">
    <vt:lpwstr/>
  </property>
  <property fmtid="{D5CDD505-2E9C-101B-9397-08002B2CF9AE}" pid="5" name="Source">
    <vt:lpwstr>https://www.vertex42.com/</vt:lpwstr>
  </property>
  <property fmtid="{D5CDD505-2E9C-101B-9397-08002B2CF9AE}" pid="6" name="Version">
    <vt:lpwstr>1.0.1</vt:lpwstr>
  </property>
</Properties>
</file>